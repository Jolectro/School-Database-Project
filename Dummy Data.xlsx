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lectro\Desktop\My Codes\Kaggle\"/>
    </mc:Choice>
  </mc:AlternateContent>
  <xr:revisionPtr revIDLastSave="0" documentId="8_{7CAF0B4F-144C-45F2-9308-98451804FF22}" xr6:coauthVersionLast="47" xr6:coauthVersionMax="47" xr10:uidLastSave="{00000000-0000-0000-0000-000000000000}"/>
  <bookViews>
    <workbookView xWindow="-120" yWindow="-120" windowWidth="20730" windowHeight="11310" firstSheet="6" activeTab="11" xr2:uid="{AF5BCEA1-0DC3-4F28-8E02-194F3B7E1848}"/>
  </bookViews>
  <sheets>
    <sheet name="Students" sheetId="1" r:id="rId1"/>
    <sheet name="Teachers" sheetId="2" r:id="rId2"/>
    <sheet name="Subjects" sheetId="3" r:id="rId3"/>
    <sheet name="Class" sheetId="7" r:id="rId4"/>
    <sheet name="Brushsheet" sheetId="16" r:id="rId5"/>
    <sheet name="Results" sheetId="9" r:id="rId6"/>
    <sheet name="Results Dashboard" sheetId="19" r:id="rId7"/>
    <sheet name="Attendance" sheetId="5" r:id="rId8"/>
    <sheet name="Fees" sheetId="6" r:id="rId9"/>
    <sheet name="Discipline" sheetId="8" r:id="rId10"/>
    <sheet name="Inventory" sheetId="10" r:id="rId11"/>
    <sheet name="Club Activities" sheetId="13" r:id="rId12"/>
    <sheet name="Time table" sheetId="15" r:id="rId13"/>
  </sheet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7" l="1"/>
  <c r="C3" i="9"/>
  <c r="B1" i="19" s="1" a="1"/>
  <c r="B1" i="19" s="1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F2" i="10"/>
  <c r="K2" i="10" s="1"/>
  <c r="F3" i="10"/>
  <c r="K3" i="10" s="1"/>
  <c r="F4" i="10"/>
  <c r="K4" i="10" s="1"/>
  <c r="F5" i="10"/>
  <c r="K5" i="10" s="1"/>
  <c r="F6" i="10"/>
  <c r="K6" i="10" s="1"/>
  <c r="F7" i="10"/>
  <c r="K7" i="10" s="1"/>
  <c r="F8" i="10"/>
  <c r="K8" i="10" s="1"/>
  <c r="F9" i="10"/>
  <c r="K9" i="10" s="1"/>
  <c r="F10" i="10"/>
  <c r="K10" i="10" s="1"/>
  <c r="F11" i="10"/>
  <c r="K11" i="10" s="1"/>
  <c r="F12" i="10"/>
  <c r="K12" i="10" s="1"/>
  <c r="F13" i="10"/>
  <c r="K13" i="10" s="1"/>
  <c r="F14" i="10"/>
  <c r="K14" i="10" s="1"/>
  <c r="F15" i="10"/>
  <c r="K15" i="10" s="1"/>
  <c r="F16" i="10"/>
  <c r="K16" i="10" s="1"/>
  <c r="F17" i="10"/>
  <c r="K17" i="10" s="1"/>
  <c r="F18" i="10"/>
  <c r="K18" i="10" s="1"/>
  <c r="F19" i="10"/>
  <c r="K19" i="10" s="1"/>
  <c r="F20" i="10"/>
  <c r="K20" i="10" s="1"/>
  <c r="F21" i="10"/>
  <c r="K21" i="10" s="1"/>
  <c r="F22" i="10"/>
  <c r="K22" i="10" s="1"/>
  <c r="F23" i="10"/>
  <c r="K23" i="10" s="1"/>
  <c r="F24" i="10"/>
  <c r="K24" i="10" s="1"/>
  <c r="F25" i="10"/>
  <c r="K25" i="10" s="1"/>
  <c r="F26" i="10"/>
  <c r="K26" i="10" s="1"/>
  <c r="F27" i="10"/>
  <c r="K27" i="10" s="1"/>
  <c r="F28" i="10"/>
  <c r="K28" i="10" s="1"/>
  <c r="F29" i="10"/>
  <c r="K29" i="10" s="1"/>
  <c r="F30" i="10"/>
  <c r="K30" i="10" s="1"/>
  <c r="F31" i="10"/>
  <c r="K31" i="10" s="1"/>
  <c r="F32" i="10"/>
  <c r="K32" i="10" s="1"/>
  <c r="F33" i="10"/>
  <c r="K33" i="10" s="1"/>
  <c r="F34" i="10"/>
  <c r="K34" i="10" s="1"/>
  <c r="F35" i="10"/>
  <c r="K35" i="10" s="1"/>
  <c r="F36" i="10"/>
  <c r="K36" i="10" s="1"/>
  <c r="F37" i="10"/>
  <c r="K37" i="10" s="1"/>
  <c r="F38" i="10"/>
  <c r="K38" i="10" s="1"/>
  <c r="F39" i="10"/>
  <c r="K39" i="10" s="1"/>
  <c r="F40" i="10"/>
  <c r="K40" i="10" s="1"/>
  <c r="F41" i="10"/>
  <c r="K41" i="10" s="1"/>
  <c r="F42" i="10"/>
  <c r="K42" i="10" s="1"/>
  <c r="F43" i="10"/>
  <c r="K43" i="10" s="1"/>
  <c r="F44" i="10"/>
  <c r="K44" i="10" s="1"/>
  <c r="F45" i="10"/>
  <c r="K45" i="10" s="1"/>
  <c r="F46" i="10"/>
  <c r="K46" i="10" s="1"/>
  <c r="F47" i="10"/>
  <c r="K47" i="10" s="1"/>
  <c r="F48" i="10"/>
  <c r="K48" i="10" s="1"/>
  <c r="F49" i="10"/>
  <c r="K49" i="10" s="1"/>
  <c r="F50" i="10"/>
  <c r="K50" i="10" s="1"/>
  <c r="F51" i="10"/>
  <c r="K51" i="10" s="1"/>
  <c r="F52" i="10"/>
  <c r="K52" i="10" s="1"/>
  <c r="F53" i="10"/>
  <c r="K53" i="10" s="1"/>
  <c r="F54" i="10"/>
  <c r="K54" i="10" s="1"/>
  <c r="F55" i="10"/>
  <c r="K55" i="10" s="1"/>
  <c r="F56" i="10"/>
  <c r="K56" i="10" s="1"/>
  <c r="F57" i="10"/>
  <c r="K57" i="10" s="1"/>
  <c r="F58" i="10"/>
  <c r="K58" i="10" s="1"/>
  <c r="F59" i="10"/>
  <c r="K59" i="10" s="1"/>
  <c r="F60" i="10"/>
  <c r="K60" i="10" s="1"/>
  <c r="F61" i="10"/>
  <c r="K61" i="10" s="1"/>
  <c r="F62" i="10"/>
  <c r="K62" i="10" s="1"/>
  <c r="F63" i="10"/>
  <c r="K63" i="10" s="1"/>
  <c r="F64" i="10"/>
  <c r="K64" i="10" s="1"/>
  <c r="F65" i="10"/>
  <c r="K65" i="10" s="1"/>
  <c r="F66" i="10"/>
  <c r="K66" i="10" s="1"/>
  <c r="F67" i="10"/>
  <c r="K67" i="10" s="1"/>
  <c r="F68" i="10"/>
  <c r="K68" i="10" s="1"/>
  <c r="F69" i="10"/>
  <c r="K69" i="10" s="1"/>
  <c r="F70" i="10"/>
  <c r="K70" i="10" s="1"/>
  <c r="F71" i="10"/>
  <c r="K71" i="10" s="1"/>
  <c r="F72" i="10"/>
  <c r="K72" i="10" s="1"/>
  <c r="F73" i="10"/>
  <c r="K73" i="10" s="1"/>
  <c r="F74" i="10"/>
  <c r="K74" i="10" s="1"/>
  <c r="F75" i="10"/>
  <c r="K75" i="10" s="1"/>
  <c r="F76" i="10"/>
  <c r="K76" i="10" s="1"/>
  <c r="F77" i="10"/>
  <c r="K77" i="10" s="1"/>
  <c r="F78" i="10"/>
  <c r="K78" i="10" s="1"/>
  <c r="F79" i="10"/>
  <c r="K79" i="10" s="1"/>
  <c r="F80" i="10"/>
  <c r="K80" i="10" s="1"/>
  <c r="F81" i="10"/>
  <c r="K81" i="10" s="1"/>
  <c r="F82" i="10"/>
  <c r="K82" i="10" s="1"/>
  <c r="F83" i="10"/>
  <c r="K83" i="10" s="1"/>
  <c r="F84" i="10"/>
  <c r="K84" i="10" s="1"/>
  <c r="F85" i="10"/>
  <c r="K85" i="10" s="1"/>
  <c r="F86" i="10"/>
  <c r="K86" i="10" s="1"/>
  <c r="F87" i="10"/>
  <c r="K87" i="10" s="1"/>
  <c r="F88" i="10"/>
  <c r="K88" i="10" s="1"/>
  <c r="F89" i="10"/>
  <c r="K89" i="10" s="1"/>
  <c r="F90" i="10"/>
  <c r="K90" i="10" s="1"/>
  <c r="F91" i="10"/>
  <c r="K91" i="10" s="1"/>
  <c r="F92" i="10"/>
  <c r="K92" i="10" s="1"/>
  <c r="F93" i="10"/>
  <c r="K93" i="10" s="1"/>
  <c r="F94" i="10"/>
  <c r="K94" i="10" s="1"/>
  <c r="F95" i="10"/>
  <c r="K95" i="10" s="1"/>
  <c r="F96" i="10"/>
  <c r="K96" i="10" s="1"/>
  <c r="F97" i="10"/>
  <c r="K97" i="10" s="1"/>
  <c r="F98" i="10"/>
  <c r="K98" i="10" s="1"/>
  <c r="F99" i="10"/>
  <c r="K99" i="10" s="1"/>
  <c r="F100" i="10"/>
  <c r="K100" i="10" s="1"/>
  <c r="F101" i="10"/>
  <c r="K101" i="10" s="1"/>
  <c r="H2" i="1"/>
  <c r="G3" i="3"/>
  <c r="G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B24" i="9" a="1"/>
  <c r="B24" i="9" s="1"/>
  <c r="G3" i="9"/>
  <c r="F3" i="9"/>
  <c r="K2" i="16"/>
  <c r="L2" i="16" s="1"/>
  <c r="K3" i="16"/>
  <c r="L3" i="16" s="1"/>
  <c r="K4" i="16"/>
  <c r="L4" i="16" s="1"/>
  <c r="K5" i="16"/>
  <c r="M5" i="16" s="1"/>
  <c r="K6" i="16"/>
  <c r="M6" i="16" s="1"/>
  <c r="K7" i="16"/>
  <c r="L7" i="16" s="1"/>
  <c r="K8" i="16"/>
  <c r="M8" i="16" s="1"/>
  <c r="K9" i="16"/>
  <c r="M9" i="16" s="1"/>
  <c r="K10" i="16"/>
  <c r="M10" i="16" s="1"/>
  <c r="K11" i="16"/>
  <c r="L11" i="16" s="1"/>
  <c r="K12" i="16"/>
  <c r="M12" i="16" s="1"/>
  <c r="K13" i="16"/>
  <c r="L13" i="16" s="1"/>
  <c r="K14" i="16"/>
  <c r="M14" i="16" s="1"/>
  <c r="K15" i="16"/>
  <c r="L15" i="16" s="1"/>
  <c r="K16" i="16"/>
  <c r="L16" i="16" s="1"/>
  <c r="K17" i="16"/>
  <c r="M17" i="16" s="1"/>
  <c r="K18" i="16"/>
  <c r="M18" i="16" s="1"/>
  <c r="K19" i="16"/>
  <c r="L19" i="16" s="1"/>
  <c r="K20" i="16"/>
  <c r="L20" i="16" s="1"/>
  <c r="K21" i="16"/>
  <c r="M21" i="16" s="1"/>
  <c r="K22" i="16"/>
  <c r="M22" i="16" s="1"/>
  <c r="K23" i="16"/>
  <c r="L23" i="16" s="1"/>
  <c r="K24" i="16"/>
  <c r="L24" i="16" s="1"/>
  <c r="K25" i="16"/>
  <c r="M25" i="16" s="1"/>
  <c r="K26" i="16"/>
  <c r="M26" i="16" s="1"/>
  <c r="K27" i="16"/>
  <c r="L27" i="16" s="1"/>
  <c r="K28" i="16"/>
  <c r="L28" i="16" s="1"/>
  <c r="K29" i="16"/>
  <c r="L29" i="16" s="1"/>
  <c r="K30" i="16"/>
  <c r="M30" i="16" s="1"/>
  <c r="K31" i="16"/>
  <c r="L31" i="16" s="1"/>
  <c r="K32" i="16"/>
  <c r="M32" i="16" s="1"/>
  <c r="K33" i="16"/>
  <c r="M33" i="16" s="1"/>
  <c r="K34" i="16"/>
  <c r="M34" i="16" s="1"/>
  <c r="K35" i="16"/>
  <c r="L35" i="16" s="1"/>
  <c r="K36" i="16"/>
  <c r="L36" i="16" s="1"/>
  <c r="K37" i="16"/>
  <c r="M37" i="16" s="1"/>
  <c r="K38" i="16"/>
  <c r="M38" i="16" s="1"/>
  <c r="K39" i="16"/>
  <c r="L39" i="16" s="1"/>
  <c r="K40" i="16"/>
  <c r="M40" i="16" s="1"/>
  <c r="K41" i="16"/>
  <c r="M41" i="16" s="1"/>
  <c r="K42" i="16"/>
  <c r="M42" i="16" s="1"/>
  <c r="K43" i="16"/>
  <c r="L43" i="16" s="1"/>
  <c r="K44" i="16"/>
  <c r="M44" i="16" s="1"/>
  <c r="K45" i="16"/>
  <c r="M45" i="16" s="1"/>
  <c r="K46" i="16"/>
  <c r="M46" i="16" s="1"/>
  <c r="K47" i="16"/>
  <c r="L47" i="16" s="1"/>
  <c r="K48" i="16"/>
  <c r="M48" i="16" s="1"/>
  <c r="K49" i="16"/>
  <c r="L49" i="16" s="1"/>
  <c r="K50" i="16"/>
  <c r="M50" i="16" s="1"/>
  <c r="K51" i="16"/>
  <c r="L51" i="16" s="1"/>
  <c r="K52" i="16"/>
  <c r="L52" i="16" s="1"/>
  <c r="K53" i="16"/>
  <c r="M53" i="16" s="1"/>
  <c r="K54" i="16"/>
  <c r="M54" i="16" s="1"/>
  <c r="K55" i="16"/>
  <c r="L55" i="16" s="1"/>
  <c r="K56" i="16"/>
  <c r="L56" i="16" s="1"/>
  <c r="K57" i="16"/>
  <c r="L57" i="16" s="1"/>
  <c r="K58" i="16"/>
  <c r="M58" i="16" s="1"/>
  <c r="K59" i="16"/>
  <c r="L59" i="16" s="1"/>
  <c r="K60" i="16"/>
  <c r="L60" i="16" s="1"/>
  <c r="K61" i="16"/>
  <c r="M61" i="16" s="1"/>
  <c r="K62" i="16"/>
  <c r="M62" i="16" s="1"/>
  <c r="K63" i="16"/>
  <c r="L63" i="16" s="1"/>
  <c r="K64" i="16"/>
  <c r="M64" i="16" s="1"/>
  <c r="K65" i="16"/>
  <c r="L65" i="16" s="1"/>
  <c r="K66" i="16"/>
  <c r="M66" i="16" s="1"/>
  <c r="K67" i="16"/>
  <c r="L67" i="16" s="1"/>
  <c r="K68" i="16"/>
  <c r="L68" i="16" s="1"/>
  <c r="K69" i="16"/>
  <c r="M69" i="16" s="1"/>
  <c r="K70" i="16"/>
  <c r="M70" i="16" s="1"/>
  <c r="K71" i="16"/>
  <c r="L71" i="16" s="1"/>
  <c r="K72" i="16"/>
  <c r="M72" i="16" s="1"/>
  <c r="K73" i="16"/>
  <c r="M73" i="16" s="1"/>
  <c r="K74" i="16"/>
  <c r="M74" i="16" s="1"/>
  <c r="K75" i="16"/>
  <c r="L75" i="16" s="1"/>
  <c r="K76" i="16"/>
  <c r="M76" i="16" s="1"/>
  <c r="K77" i="16"/>
  <c r="L77" i="16" s="1"/>
  <c r="K78" i="16"/>
  <c r="M78" i="16" s="1"/>
  <c r="K79" i="16"/>
  <c r="L79" i="16" s="1"/>
  <c r="K80" i="16"/>
  <c r="L80" i="16" s="1"/>
  <c r="K81" i="16"/>
  <c r="M81" i="16" s="1"/>
  <c r="K82" i="16"/>
  <c r="M82" i="16" s="1"/>
  <c r="K83" i="16"/>
  <c r="L83" i="16" s="1"/>
  <c r="K84" i="16"/>
  <c r="L84" i="16" s="1"/>
  <c r="K85" i="16"/>
  <c r="M85" i="16" s="1"/>
  <c r="K86" i="16"/>
  <c r="M86" i="16" s="1"/>
  <c r="K87" i="16"/>
  <c r="L87" i="16" s="1"/>
  <c r="K88" i="16"/>
  <c r="L88" i="16" s="1"/>
  <c r="K89" i="16"/>
  <c r="M89" i="16" s="1"/>
  <c r="K90" i="16"/>
  <c r="M90" i="16" s="1"/>
  <c r="K91" i="16"/>
  <c r="L91" i="16" s="1"/>
  <c r="K92" i="16"/>
  <c r="L92" i="16" s="1"/>
  <c r="K93" i="16"/>
  <c r="L93" i="16" s="1"/>
  <c r="K94" i="16"/>
  <c r="M94" i="16" s="1"/>
  <c r="K95" i="16"/>
  <c r="L95" i="16" s="1"/>
  <c r="K96" i="16"/>
  <c r="L96" i="16" s="1"/>
  <c r="K97" i="16"/>
  <c r="M97" i="16" s="1"/>
  <c r="K98" i="16"/>
  <c r="M98" i="16" s="1"/>
  <c r="K99" i="16"/>
  <c r="L99" i="16" s="1"/>
  <c r="K100" i="16"/>
  <c r="L100" i="16" s="1"/>
  <c r="K101" i="16"/>
  <c r="M101" i="16" s="1"/>
  <c r="L44" i="16"/>
  <c r="E2" i="16"/>
  <c r="B5" i="9" s="1" a="1"/>
  <c r="B5" i="9" s="1"/>
  <c r="E3" i="16"/>
  <c r="B6" i="9" s="1" a="1"/>
  <c r="B6" i="9" s="1"/>
  <c r="F6" i="9" s="1" a="1"/>
  <c r="F6" i="9" s="1"/>
  <c r="E4" i="16"/>
  <c r="B7" i="9" s="1" a="1"/>
  <c r="B7" i="9" s="1"/>
  <c r="E5" i="16"/>
  <c r="B8" i="9" s="1" a="1"/>
  <c r="B8" i="9" s="1"/>
  <c r="E6" i="16"/>
  <c r="B9" i="9" s="1" a="1"/>
  <c r="B9" i="9" s="1"/>
  <c r="E7" i="16"/>
  <c r="B10" i="9" s="1" a="1"/>
  <c r="B10" i="9" s="1"/>
  <c r="E8" i="16"/>
  <c r="B11" i="9" s="1" a="1"/>
  <c r="B11" i="9" s="1"/>
  <c r="E9" i="16"/>
  <c r="B12" i="9" s="1" a="1"/>
  <c r="B12" i="9" s="1"/>
  <c r="E10" i="16"/>
  <c r="B13" i="9" s="1" a="1"/>
  <c r="B13" i="9" s="1"/>
  <c r="E11" i="16"/>
  <c r="B14" i="9" s="1" a="1"/>
  <c r="B14" i="9" s="1"/>
  <c r="E12" i="16"/>
  <c r="B15" i="9" s="1" a="1"/>
  <c r="B15" i="9" s="1"/>
  <c r="E13" i="16"/>
  <c r="B16" i="9" s="1" a="1"/>
  <c r="B16" i="9" s="1"/>
  <c r="E14" i="16"/>
  <c r="B17" i="9" s="1" a="1"/>
  <c r="B17" i="9" s="1"/>
  <c r="E15" i="16"/>
  <c r="B18" i="9" s="1" a="1"/>
  <c r="B18" i="9" s="1"/>
  <c r="E16" i="16"/>
  <c r="B19" i="9" s="1" a="1"/>
  <c r="B19" i="9" s="1"/>
  <c r="E17" i="16"/>
  <c r="B20" i="9" s="1" a="1"/>
  <c r="B20" i="9" s="1"/>
  <c r="E18" i="16"/>
  <c r="B21" i="9" s="1" a="1"/>
  <c r="B21" i="9" s="1"/>
  <c r="E19" i="16"/>
  <c r="B22" i="9" s="1" a="1"/>
  <c r="B22" i="9" s="1"/>
  <c r="E20" i="16"/>
  <c r="B23" i="9" s="1" a="1"/>
  <c r="B23" i="9" s="1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C2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B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L6" i="16" l="1"/>
  <c r="L53" i="16"/>
  <c r="L8" i="16"/>
  <c r="L61" i="16"/>
  <c r="L10" i="16"/>
  <c r="L90" i="16"/>
  <c r="L26" i="16"/>
  <c r="L97" i="16"/>
  <c r="L54" i="16"/>
  <c r="L33" i="16"/>
  <c r="L9" i="16"/>
  <c r="L73" i="16"/>
  <c r="L45" i="16"/>
  <c r="L25" i="16"/>
  <c r="L41" i="16"/>
  <c r="L17" i="16"/>
  <c r="L76" i="16"/>
  <c r="L5" i="16"/>
  <c r="L82" i="16"/>
  <c r="L70" i="16"/>
  <c r="L98" i="16"/>
  <c r="L81" i="16"/>
  <c r="L62" i="16"/>
  <c r="L46" i="16"/>
  <c r="L34" i="16"/>
  <c r="L18" i="16"/>
  <c r="L89" i="16"/>
  <c r="L74" i="16"/>
  <c r="L69" i="16"/>
  <c r="L12" i="16"/>
  <c r="L40" i="16"/>
  <c r="L72" i="16"/>
  <c r="H21" i="9" a="1"/>
  <c r="H21" i="9" s="1"/>
  <c r="H17" i="9" a="1"/>
  <c r="H17" i="9" s="1"/>
  <c r="H13" i="9" a="1"/>
  <c r="H13" i="9" s="1"/>
  <c r="H9" i="9" a="1"/>
  <c r="H9" i="9" s="1"/>
  <c r="M65" i="16"/>
  <c r="M49" i="16"/>
  <c r="D24" i="9" a="1"/>
  <c r="D24" i="9" s="1"/>
  <c r="D20" i="9" a="1"/>
  <c r="D20" i="9" s="1"/>
  <c r="D16" i="9" a="1"/>
  <c r="D16" i="9" s="1"/>
  <c r="D12" i="9" a="1"/>
  <c r="D12" i="9" s="1"/>
  <c r="D8" i="9" a="1"/>
  <c r="D8" i="9" s="1"/>
  <c r="M93" i="16"/>
  <c r="M77" i="16"/>
  <c r="M29" i="16"/>
  <c r="M13" i="16"/>
  <c r="L94" i="16"/>
  <c r="L86" i="16"/>
  <c r="L78" i="16"/>
  <c r="L66" i="16"/>
  <c r="L58" i="16"/>
  <c r="L50" i="16"/>
  <c r="L38" i="16"/>
  <c r="L30" i="16"/>
  <c r="L22" i="16"/>
  <c r="L14" i="16"/>
  <c r="E19" i="9" a="1"/>
  <c r="E19" i="9" s="1"/>
  <c r="E15" i="9" a="1"/>
  <c r="E15" i="9" s="1"/>
  <c r="E11" i="9" a="1"/>
  <c r="E11" i="9" s="1"/>
  <c r="E7" i="9" a="1"/>
  <c r="E7" i="9" s="1"/>
  <c r="M57" i="16"/>
  <c r="E23" i="9" a="1"/>
  <c r="E23" i="9" s="1"/>
  <c r="L101" i="16"/>
  <c r="L85" i="16"/>
  <c r="L42" i="16"/>
  <c r="L37" i="16"/>
  <c r="L21" i="16"/>
  <c r="F22" i="9" a="1"/>
  <c r="F22" i="9" s="1"/>
  <c r="F18" i="9" a="1"/>
  <c r="F18" i="9" s="1"/>
  <c r="F14" i="9" a="1"/>
  <c r="F14" i="9" s="1"/>
  <c r="F10" i="9" a="1"/>
  <c r="F10" i="9" s="1"/>
  <c r="H5" i="9" a="1"/>
  <c r="H5" i="9" s="1"/>
  <c r="I21" i="9" a="1"/>
  <c r="I21" i="9" s="1"/>
  <c r="M96" i="16"/>
  <c r="M88" i="16"/>
  <c r="M80" i="16"/>
  <c r="M68" i="16"/>
  <c r="M60" i="16"/>
  <c r="M56" i="16"/>
  <c r="M24" i="16"/>
  <c r="M16" i="16"/>
  <c r="M4" i="16"/>
  <c r="I7" i="9" s="1" a="1"/>
  <c r="I7" i="9" s="1"/>
  <c r="M99" i="16"/>
  <c r="M95" i="16"/>
  <c r="M91" i="16"/>
  <c r="M87" i="16"/>
  <c r="M83" i="16"/>
  <c r="M79" i="16"/>
  <c r="M75" i="16"/>
  <c r="M71" i="16"/>
  <c r="M67" i="16"/>
  <c r="M63" i="16"/>
  <c r="M59" i="16"/>
  <c r="M55" i="16"/>
  <c r="M51" i="16"/>
  <c r="M47" i="16"/>
  <c r="M43" i="16"/>
  <c r="M39" i="16"/>
  <c r="M35" i="16"/>
  <c r="M31" i="16"/>
  <c r="M27" i="16"/>
  <c r="M23" i="16"/>
  <c r="M19" i="16"/>
  <c r="M15" i="16"/>
  <c r="M11" i="16"/>
  <c r="M7" i="16"/>
  <c r="M3" i="16"/>
  <c r="M100" i="16"/>
  <c r="M92" i="16"/>
  <c r="M84" i="16"/>
  <c r="M52" i="16"/>
  <c r="M36" i="16"/>
  <c r="M28" i="16"/>
  <c r="M20" i="16"/>
  <c r="M2" i="16"/>
  <c r="I5" i="9" s="1" a="1"/>
  <c r="I5" i="9" s="1"/>
  <c r="L64" i="16"/>
  <c r="L48" i="16"/>
  <c r="L32" i="16"/>
  <c r="C5" i="9" a="1"/>
  <c r="C5" i="9" s="1"/>
  <c r="C24" i="9" a="1"/>
  <c r="C24" i="9" s="1"/>
  <c r="C20" i="9" a="1"/>
  <c r="C20" i="9" s="1"/>
  <c r="C16" i="9" a="1"/>
  <c r="C16" i="9" s="1"/>
  <c r="C12" i="9" a="1"/>
  <c r="C12" i="9" s="1"/>
  <c r="C8" i="9" a="1"/>
  <c r="C8" i="9" s="1"/>
  <c r="D23" i="9" a="1"/>
  <c r="D23" i="9" s="1"/>
  <c r="D19" i="9" a="1"/>
  <c r="D19" i="9" s="1"/>
  <c r="D15" i="9" a="1"/>
  <c r="D15" i="9" s="1"/>
  <c r="D11" i="9" a="1"/>
  <c r="D11" i="9" s="1"/>
  <c r="D7" i="9" a="1"/>
  <c r="D7" i="9" s="1"/>
  <c r="E22" i="9" a="1"/>
  <c r="E22" i="9" s="1"/>
  <c r="E18" i="9" a="1"/>
  <c r="E18" i="9" s="1"/>
  <c r="E14" i="9" a="1"/>
  <c r="E14" i="9" s="1"/>
  <c r="E10" i="9" a="1"/>
  <c r="E10" i="9" s="1"/>
  <c r="E6" i="9" a="1"/>
  <c r="E6" i="9" s="1"/>
  <c r="F21" i="9" a="1"/>
  <c r="F21" i="9" s="1"/>
  <c r="F17" i="9" a="1"/>
  <c r="F17" i="9" s="1"/>
  <c r="F13" i="9" a="1"/>
  <c r="F13" i="9" s="1"/>
  <c r="F9" i="9" a="1"/>
  <c r="F9" i="9" s="1"/>
  <c r="H24" i="9" a="1"/>
  <c r="H24" i="9" s="1"/>
  <c r="H20" i="9" a="1"/>
  <c r="H20" i="9" s="1"/>
  <c r="H16" i="9" a="1"/>
  <c r="H16" i="9" s="1"/>
  <c r="H12" i="9" a="1"/>
  <c r="H12" i="9" s="1"/>
  <c r="H8" i="9" a="1"/>
  <c r="H8" i="9" s="1"/>
  <c r="D5" i="9" a="1"/>
  <c r="D5" i="9" s="1"/>
  <c r="C23" i="9" a="1"/>
  <c r="C23" i="9" s="1"/>
  <c r="C19" i="9" a="1"/>
  <c r="C19" i="9" s="1"/>
  <c r="C15" i="9" a="1"/>
  <c r="C15" i="9" s="1"/>
  <c r="C11" i="9" a="1"/>
  <c r="C11" i="9" s="1"/>
  <c r="C7" i="9" a="1"/>
  <c r="C7" i="9" s="1"/>
  <c r="D22" i="9" a="1"/>
  <c r="D22" i="9" s="1"/>
  <c r="D18" i="9" a="1"/>
  <c r="D18" i="9" s="1"/>
  <c r="D14" i="9" a="1"/>
  <c r="D14" i="9" s="1"/>
  <c r="D10" i="9" a="1"/>
  <c r="D10" i="9" s="1"/>
  <c r="D6" i="9" a="1"/>
  <c r="D6" i="9" s="1"/>
  <c r="E21" i="9" a="1"/>
  <c r="E21" i="9" s="1"/>
  <c r="E17" i="9" a="1"/>
  <c r="E17" i="9" s="1"/>
  <c r="E13" i="9" a="1"/>
  <c r="E13" i="9" s="1"/>
  <c r="E9" i="9" a="1"/>
  <c r="E9" i="9" s="1"/>
  <c r="F24" i="9" a="1"/>
  <c r="F24" i="9" s="1"/>
  <c r="F20" i="9" a="1"/>
  <c r="F20" i="9" s="1"/>
  <c r="F16" i="9" a="1"/>
  <c r="F16" i="9" s="1"/>
  <c r="F12" i="9" a="1"/>
  <c r="F12" i="9" s="1"/>
  <c r="F8" i="9" a="1"/>
  <c r="F8" i="9" s="1"/>
  <c r="H23" i="9" a="1"/>
  <c r="H23" i="9" s="1"/>
  <c r="H19" i="9" a="1"/>
  <c r="H19" i="9" s="1"/>
  <c r="H15" i="9" a="1"/>
  <c r="H15" i="9" s="1"/>
  <c r="H11" i="9" a="1"/>
  <c r="H11" i="9" s="1"/>
  <c r="H7" i="9" a="1"/>
  <c r="H7" i="9" s="1"/>
  <c r="E5" i="9" a="1"/>
  <c r="E5" i="9" s="1"/>
  <c r="C22" i="9" a="1"/>
  <c r="C22" i="9" s="1"/>
  <c r="C18" i="9" a="1"/>
  <c r="C18" i="9" s="1"/>
  <c r="C14" i="9" a="1"/>
  <c r="C14" i="9" s="1"/>
  <c r="C10" i="9" a="1"/>
  <c r="C10" i="9" s="1"/>
  <c r="C6" i="9" a="1"/>
  <c r="C6" i="9" s="1"/>
  <c r="D21" i="9" a="1"/>
  <c r="D21" i="9" s="1"/>
  <c r="D17" i="9" a="1"/>
  <c r="D17" i="9" s="1"/>
  <c r="D13" i="9" a="1"/>
  <c r="D13" i="9" s="1"/>
  <c r="D9" i="9" a="1"/>
  <c r="D9" i="9" s="1"/>
  <c r="E24" i="9" a="1"/>
  <c r="E24" i="9" s="1"/>
  <c r="E20" i="9" a="1"/>
  <c r="E20" i="9" s="1"/>
  <c r="E16" i="9" a="1"/>
  <c r="E16" i="9" s="1"/>
  <c r="E12" i="9" a="1"/>
  <c r="E12" i="9" s="1"/>
  <c r="E8" i="9" a="1"/>
  <c r="E8" i="9" s="1"/>
  <c r="F23" i="9" a="1"/>
  <c r="F23" i="9" s="1"/>
  <c r="F19" i="9" a="1"/>
  <c r="F19" i="9" s="1"/>
  <c r="F15" i="9" a="1"/>
  <c r="F15" i="9" s="1"/>
  <c r="F11" i="9" a="1"/>
  <c r="F11" i="9" s="1"/>
  <c r="F7" i="9" a="1"/>
  <c r="F7" i="9" s="1"/>
  <c r="H22" i="9" a="1"/>
  <c r="H22" i="9" s="1"/>
  <c r="H18" i="9" a="1"/>
  <c r="H18" i="9" s="1"/>
  <c r="H14" i="9" a="1"/>
  <c r="H14" i="9" s="1"/>
  <c r="H10" i="9" a="1"/>
  <c r="H10" i="9" s="1"/>
  <c r="H6" i="9" a="1"/>
  <c r="H6" i="9" s="1"/>
  <c r="F5" i="9" a="1"/>
  <c r="F5" i="9" s="1"/>
  <c r="C21" i="9" a="1"/>
  <c r="C21" i="9" s="1"/>
  <c r="C17" i="9" a="1"/>
  <c r="C17" i="9" s="1"/>
  <c r="C13" i="9" a="1"/>
  <c r="C13" i="9" s="1"/>
  <c r="C9" i="9" a="1"/>
  <c r="C9" i="9" s="1"/>
  <c r="I18" i="9" l="1" a="1"/>
  <c r="I18" i="9" s="1"/>
  <c r="I13" i="9" a="1"/>
  <c r="I13" i="9" s="1"/>
  <c r="I10" i="9" a="1"/>
  <c r="I10" i="9" s="1"/>
  <c r="I11" i="9" a="1"/>
  <c r="I11" i="9" s="1"/>
  <c r="I8" i="9" a="1"/>
  <c r="I8" i="9" s="1"/>
  <c r="I24" i="9" a="1"/>
  <c r="I24" i="9" s="1"/>
  <c r="I6" i="9" a="1"/>
  <c r="I6" i="9" s="1"/>
  <c r="I17" i="9" a="1"/>
  <c r="I17" i="9" s="1"/>
  <c r="I14" i="9" a="1"/>
  <c r="I14" i="9" s="1"/>
  <c r="I15" i="9" a="1"/>
  <c r="I15" i="9" s="1"/>
  <c r="I12" i="9" a="1"/>
  <c r="I12" i="9" s="1"/>
  <c r="I19" i="9" a="1"/>
  <c r="I19" i="9" s="1"/>
  <c r="I16" i="9" a="1"/>
  <c r="I16" i="9" s="1"/>
  <c r="I9" i="9" a="1"/>
  <c r="I9" i="9" s="1"/>
  <c r="I22" i="9" a="1"/>
  <c r="I22" i="9" s="1"/>
  <c r="I23" i="9" a="1"/>
  <c r="I23" i="9" s="1"/>
  <c r="I20" i="9" a="1"/>
  <c r="I20" i="9" s="1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D25" i="9" l="1"/>
  <c r="E25" i="9"/>
  <c r="F25" i="9"/>
  <c r="C25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G25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<sst xmlns="http://schemas.openxmlformats.org/spreadsheetml/2006/main" count="446" uniqueCount="245">
  <si>
    <t>Student_ID</t>
  </si>
  <si>
    <t>First_Name</t>
  </si>
  <si>
    <t>Last_Name</t>
  </si>
  <si>
    <t>Gender</t>
  </si>
  <si>
    <t>DOB</t>
  </si>
  <si>
    <t>Class</t>
  </si>
  <si>
    <t>Admission_Date</t>
  </si>
  <si>
    <t>Josiah</t>
  </si>
  <si>
    <t>Ojo</t>
  </si>
  <si>
    <t>Male</t>
  </si>
  <si>
    <t>JSS1</t>
  </si>
  <si>
    <t>Teacher_ID</t>
  </si>
  <si>
    <t>Full_Name</t>
  </si>
  <si>
    <t>Class_Assigned</t>
  </si>
  <si>
    <t>Subject_ID</t>
  </si>
  <si>
    <t>Subject_Name</t>
  </si>
  <si>
    <t>Term</t>
  </si>
  <si>
    <t>Grade</t>
  </si>
  <si>
    <t>Date</t>
  </si>
  <si>
    <t>Status</t>
  </si>
  <si>
    <t>Balance</t>
  </si>
  <si>
    <t>Admission_Number</t>
  </si>
  <si>
    <t>Middle_Name</t>
  </si>
  <si>
    <t>Age</t>
  </si>
  <si>
    <t>Student_Status</t>
  </si>
  <si>
    <t>Blood_Group</t>
  </si>
  <si>
    <t>Guardian_Name</t>
  </si>
  <si>
    <t>Relationship</t>
  </si>
  <si>
    <t>Phone</t>
  </si>
  <si>
    <t>Email</t>
  </si>
  <si>
    <t>Home_Address</t>
  </si>
  <si>
    <t>Hostel</t>
  </si>
  <si>
    <t>Special_Needs</t>
  </si>
  <si>
    <t>Staff_Number</t>
  </si>
  <si>
    <t>Qualification</t>
  </si>
  <si>
    <t>Subject_Specialization</t>
  </si>
  <si>
    <t>Class_Teacher</t>
  </si>
  <si>
    <t>Employment_Type</t>
  </si>
  <si>
    <t>Date_Employed</t>
  </si>
  <si>
    <t>Department</t>
  </si>
  <si>
    <t>Weekly_Periods</t>
  </si>
  <si>
    <t>Class_ID</t>
  </si>
  <si>
    <t>Class_Name</t>
  </si>
  <si>
    <t>Class_Teacher_ID</t>
  </si>
  <si>
    <t>Room_Number</t>
  </si>
  <si>
    <t>Session</t>
  </si>
  <si>
    <t>Assignment</t>
  </si>
  <si>
    <t>Exam</t>
  </si>
  <si>
    <t>Total</t>
  </si>
  <si>
    <t>Class_Position</t>
  </si>
  <si>
    <t>Day</t>
  </si>
  <si>
    <t>Reason_for_Absence</t>
  </si>
  <si>
    <t>Fee_Type</t>
  </si>
  <si>
    <t>Amount_Expected</t>
  </si>
  <si>
    <t>Amount_Paid</t>
  </si>
  <si>
    <t>Payment_Date</t>
  </si>
  <si>
    <t>Payment_Method</t>
  </si>
  <si>
    <t>Reciept_Number</t>
  </si>
  <si>
    <t>Incident_Type</t>
  </si>
  <si>
    <t>Description</t>
  </si>
  <si>
    <t>Action_Taken</t>
  </si>
  <si>
    <t>Reported_By</t>
  </si>
  <si>
    <t>Muyiwa</t>
  </si>
  <si>
    <t>O+</t>
  </si>
  <si>
    <t>Graduated</t>
  </si>
  <si>
    <t>Mother</t>
  </si>
  <si>
    <t>jolectro777@gmail.com</t>
  </si>
  <si>
    <t>19 Aleniboro Street, Offa garage, Iorin</t>
  </si>
  <si>
    <t>Yes</t>
  </si>
  <si>
    <t>Loves Food</t>
  </si>
  <si>
    <t>Total_Students</t>
  </si>
  <si>
    <t>Fee Status</t>
  </si>
  <si>
    <t>Student_Name</t>
  </si>
  <si>
    <t>1st_CA</t>
  </si>
  <si>
    <t>2nd_CA</t>
  </si>
  <si>
    <t>Remark</t>
  </si>
  <si>
    <t>Jolectro</t>
  </si>
  <si>
    <t>Ph.D</t>
  </si>
  <si>
    <t>Quantum Mathematics</t>
  </si>
  <si>
    <t>No</t>
  </si>
  <si>
    <t>Part Time</t>
  </si>
  <si>
    <t>On Leave</t>
  </si>
  <si>
    <t>CIA001</t>
  </si>
  <si>
    <t>Ojo Omowumi</t>
  </si>
  <si>
    <t>MAT001</t>
  </si>
  <si>
    <t>Mathematics</t>
  </si>
  <si>
    <t>General</t>
  </si>
  <si>
    <t>TUT001</t>
  </si>
  <si>
    <t>CRS</t>
  </si>
  <si>
    <t>Yoruba</t>
  </si>
  <si>
    <t>Morals</t>
  </si>
  <si>
    <t>CCA</t>
  </si>
  <si>
    <t>English</t>
  </si>
  <si>
    <t>Maths</t>
  </si>
  <si>
    <t>B.Sci</t>
  </si>
  <si>
    <t>Hist</t>
  </si>
  <si>
    <t>B.Tech</t>
  </si>
  <si>
    <t>S.Edu</t>
  </si>
  <si>
    <t>S.Stu</t>
  </si>
  <si>
    <t>Yor</t>
  </si>
  <si>
    <t>H.Eco</t>
  </si>
  <si>
    <t>H.Edu</t>
  </si>
  <si>
    <t>B.Stu</t>
  </si>
  <si>
    <t>JSS3</t>
  </si>
  <si>
    <t>JSS2</t>
  </si>
  <si>
    <t>Aqueous Electrolysis</t>
  </si>
  <si>
    <t>Wind Alternator</t>
  </si>
  <si>
    <t>Is it boring to be polite and serious?</t>
  </si>
  <si>
    <t>Fashion Registers</t>
  </si>
  <si>
    <t>House construction</t>
  </si>
  <si>
    <t>What does it mean to be humble?</t>
  </si>
  <si>
    <t>Financial Terminologies</t>
  </si>
  <si>
    <t>Drama</t>
  </si>
  <si>
    <t>Debate</t>
  </si>
  <si>
    <t>Car construction</t>
  </si>
  <si>
    <t>Why should you do your homework?</t>
  </si>
  <si>
    <t>Sporting Equipments</t>
  </si>
  <si>
    <t>Cardboard Designs</t>
  </si>
  <si>
    <t>Interviews</t>
  </si>
  <si>
    <t>Documentary Videos</t>
  </si>
  <si>
    <t>Avoiding bad entertainment</t>
  </si>
  <si>
    <t>WaterColor Painting</t>
  </si>
  <si>
    <t>Current News Report</t>
  </si>
  <si>
    <t>Boat Construction</t>
  </si>
  <si>
    <t>The importance of studying</t>
  </si>
  <si>
    <t>Origamis</t>
  </si>
  <si>
    <t>Oratoring Techniques</t>
  </si>
  <si>
    <t>Verdict Maths</t>
  </si>
  <si>
    <t>Does it pay to be honest?</t>
  </si>
  <si>
    <t>3D Shapes</t>
  </si>
  <si>
    <t>Why is it good to be punctual?</t>
  </si>
  <si>
    <t>ART CLUB AGENDA</t>
  </si>
  <si>
    <t>PRESS CLUB AGENDA</t>
  </si>
  <si>
    <t>JET CLUB AGENDA</t>
  </si>
  <si>
    <t>SPEAKER</t>
  </si>
  <si>
    <t>MORAL TALKS</t>
  </si>
  <si>
    <t>HOST</t>
  </si>
  <si>
    <t>SPELLING BEE</t>
  </si>
  <si>
    <t>COORDINATOR</t>
  </si>
  <si>
    <t>QUIZES</t>
  </si>
  <si>
    <t>INSTRUCTOR</t>
  </si>
  <si>
    <t>POEM</t>
  </si>
  <si>
    <t>WEEKS</t>
  </si>
  <si>
    <t>CLUB ACTIVITIES</t>
  </si>
  <si>
    <t>Home-Eco</t>
  </si>
  <si>
    <t>Business Stu.</t>
  </si>
  <si>
    <t>Friday</t>
  </si>
  <si>
    <t>Civic</t>
  </si>
  <si>
    <t>Health Edu.</t>
  </si>
  <si>
    <t>Thursday</t>
  </si>
  <si>
    <t>Security Edu.</t>
  </si>
  <si>
    <t>Basic Sci.</t>
  </si>
  <si>
    <t>Social Stu.</t>
  </si>
  <si>
    <t>History</t>
  </si>
  <si>
    <t>Wednesday</t>
  </si>
  <si>
    <t>Tuesday</t>
  </si>
  <si>
    <t>Break</t>
  </si>
  <si>
    <t xml:space="preserve">Agric </t>
  </si>
  <si>
    <t xml:space="preserve">Computer </t>
  </si>
  <si>
    <t xml:space="preserve">Maths </t>
  </si>
  <si>
    <t>Monday</t>
  </si>
  <si>
    <t>1-2</t>
  </si>
  <si>
    <t>12-1</t>
  </si>
  <si>
    <t>11-12</t>
  </si>
  <si>
    <t>10-11</t>
  </si>
  <si>
    <t>9-10</t>
  </si>
  <si>
    <t>8-9</t>
  </si>
  <si>
    <t>Days</t>
  </si>
  <si>
    <t>A.Sci</t>
  </si>
  <si>
    <t>C.Edu</t>
  </si>
  <si>
    <t>Eng</t>
  </si>
  <si>
    <t>C.Sci</t>
  </si>
  <si>
    <t>CLOSING TIME</t>
  </si>
  <si>
    <t>BREAK</t>
  </si>
  <si>
    <t>TIME</t>
  </si>
  <si>
    <t>FRIDAY</t>
  </si>
  <si>
    <t>THURSDAY</t>
  </si>
  <si>
    <t>SPORT</t>
  </si>
  <si>
    <t>WEDNESDAY</t>
  </si>
  <si>
    <t>TUESDAY</t>
  </si>
  <si>
    <t>STUDY</t>
  </si>
  <si>
    <t>Mor</t>
  </si>
  <si>
    <t>Lesson</t>
  </si>
  <si>
    <t>C.Sci Practical</t>
  </si>
  <si>
    <t>ASSEMBLY</t>
  </si>
  <si>
    <t>MONDAY</t>
  </si>
  <si>
    <t>CLASS</t>
  </si>
  <si>
    <t>DAYS</t>
  </si>
  <si>
    <t>TIME TABLE</t>
  </si>
  <si>
    <t>JSS 1-3 TEST TIMETABLE</t>
  </si>
  <si>
    <t>1st</t>
  </si>
  <si>
    <t>Student Name</t>
  </si>
  <si>
    <t>Transfer</t>
  </si>
  <si>
    <t>TUT002</t>
  </si>
  <si>
    <t>Teacher Name</t>
  </si>
  <si>
    <t>Student ID</t>
  </si>
  <si>
    <t>Subject ID</t>
  </si>
  <si>
    <t>Subject Name</t>
  </si>
  <si>
    <t>Exam Score</t>
  </si>
  <si>
    <t>1st CA</t>
  </si>
  <si>
    <t>2nd CA</t>
  </si>
  <si>
    <t>ENG001</t>
  </si>
  <si>
    <t>Susana</t>
  </si>
  <si>
    <t>Female</t>
  </si>
  <si>
    <t>Queen</t>
  </si>
  <si>
    <t>Linguistics</t>
  </si>
  <si>
    <t>Full Time</t>
  </si>
  <si>
    <t>On Duty</t>
  </si>
  <si>
    <t>Item ID</t>
  </si>
  <si>
    <t>Item Name</t>
  </si>
  <si>
    <t>Category</t>
  </si>
  <si>
    <t>Quantity In</t>
  </si>
  <si>
    <t>Quantity Out</t>
  </si>
  <si>
    <t>Quantity Balance</t>
  </si>
  <si>
    <t>Location</t>
  </si>
  <si>
    <t>Reorder Level</t>
  </si>
  <si>
    <t>Stock status</t>
  </si>
  <si>
    <t>Last Updated</t>
  </si>
  <si>
    <t>Purchase Cost</t>
  </si>
  <si>
    <t>CHM101</t>
  </si>
  <si>
    <t>Chemical</t>
  </si>
  <si>
    <t>Hydrogen Peroxide(1M)</t>
  </si>
  <si>
    <t>Unit Price</t>
  </si>
  <si>
    <t>Lab</t>
  </si>
  <si>
    <t>Sum of Total</t>
  </si>
  <si>
    <t>Row Labels</t>
  </si>
  <si>
    <t>Grand Total</t>
  </si>
  <si>
    <t>Column Labels</t>
  </si>
  <si>
    <t>A</t>
  </si>
  <si>
    <t>B</t>
  </si>
  <si>
    <t>SCI001</t>
  </si>
  <si>
    <t>Science</t>
  </si>
  <si>
    <t>C</t>
  </si>
  <si>
    <t>Sum of 1st_CA</t>
  </si>
  <si>
    <t>Sum of 2nd_CA</t>
  </si>
  <si>
    <t>Sum of Assignment</t>
  </si>
  <si>
    <t>Sum of Exam</t>
  </si>
  <si>
    <t>COM001</t>
  </si>
  <si>
    <t>Computer</t>
  </si>
  <si>
    <t>E</t>
  </si>
  <si>
    <t>MUS001</t>
  </si>
  <si>
    <t>Music</t>
  </si>
  <si>
    <t>Arts</t>
  </si>
  <si>
    <t>2025/2026</t>
  </si>
  <si>
    <t>Tuition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</si>
</sst>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9]d\ mmmm\ yyyy;@"/>
    <numFmt numFmtId="165" formatCode="[$-F800]dddd\,\ mmmm\ dd\,\ yyyy"/>
  </numFmts>
  <fonts count="5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8" tint="-0.249977111117893"/>
      <name val="Arial"/>
      <family val="2"/>
    </font>
    <font>
      <sz val="12"/>
      <color rgb="FF33CC33"/>
      <name val="Arial"/>
      <family val="2"/>
    </font>
    <font>
      <sz val="12"/>
      <color rgb="FF00B0F0"/>
      <name val="Arial"/>
      <family val="2"/>
    </font>
    <font>
      <sz val="12"/>
      <color rgb="FFFF33CC"/>
      <name val="Arial"/>
      <family val="2"/>
    </font>
    <font>
      <sz val="12"/>
      <color theme="7"/>
      <name val="Arial"/>
      <family val="2"/>
    </font>
    <font>
      <sz val="12"/>
      <color rgb="FFC00000"/>
      <name val="Arial"/>
      <family val="2"/>
    </font>
    <font>
      <sz val="12"/>
      <color rgb="FF7030A0"/>
      <name val="Arial"/>
      <family val="2"/>
    </font>
    <font>
      <sz val="12"/>
      <color rgb="FF00B050"/>
      <name val="Arial"/>
      <family val="2"/>
    </font>
    <font>
      <sz val="12"/>
      <color rgb="FFFF0000"/>
      <name val="Arial"/>
      <family val="2"/>
    </font>
    <font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theme="8" tint="-0.249977111117893"/>
      <name val="Arial"/>
      <family val="2"/>
    </font>
    <font>
      <b/>
      <sz val="12"/>
      <color rgb="FF33CC33"/>
      <name val="Arial"/>
      <family val="2"/>
    </font>
    <font>
      <b/>
      <sz val="12"/>
      <color rgb="FF00B0F0"/>
      <name val="Arial"/>
      <family val="2"/>
    </font>
    <font>
      <b/>
      <sz val="12"/>
      <color rgb="FFFF33CC"/>
      <name val="Arial"/>
      <family val="2"/>
    </font>
    <font>
      <b/>
      <sz val="12"/>
      <color theme="7"/>
      <name val="Arial"/>
      <family val="2"/>
    </font>
    <font>
      <b/>
      <sz val="12"/>
      <color rgb="FFC00000"/>
      <name val="Arial"/>
      <family val="2"/>
    </font>
    <font>
      <b/>
      <sz val="12"/>
      <color rgb="FF7030A0"/>
      <name val="Arial"/>
      <family val="2"/>
    </font>
    <font>
      <b/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2"/>
      <color rgb="FF002060"/>
      <name val="Arial"/>
      <family val="2"/>
    </font>
    <font>
      <sz val="11"/>
      <color theme="4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u/>
      <sz val="22"/>
      <color theme="1"/>
      <name val="Calibri"/>
      <family val="2"/>
      <scheme val="minor"/>
    </font>
    <font>
      <b/>
      <sz val="8"/>
      <color theme="1"/>
      <name val="Rockwell"/>
      <family val="1"/>
    </font>
    <font>
      <b/>
      <sz val="11"/>
      <color theme="1"/>
      <name val="Rockwell"/>
      <family val="1"/>
    </font>
    <font>
      <sz val="11"/>
      <color rgb="FF00B050"/>
      <name val="Rockwell"/>
      <family val="1"/>
    </font>
    <font>
      <sz val="11"/>
      <color theme="7"/>
      <name val="Rockwell"/>
      <family val="1"/>
    </font>
    <font>
      <sz val="11"/>
      <color rgb="FFFF0000"/>
      <name val="Rockwell"/>
      <family val="1"/>
    </font>
    <font>
      <sz val="11"/>
      <color rgb="FF7030A0"/>
      <name val="Rockwell"/>
      <family val="1"/>
    </font>
    <font>
      <sz val="11"/>
      <color rgb="FF00B0F0"/>
      <name val="Rockwell"/>
      <family val="1"/>
    </font>
    <font>
      <sz val="36"/>
      <color theme="1"/>
      <name val="Rockwell"/>
      <family val="1"/>
    </font>
    <font>
      <sz val="11"/>
      <color theme="1"/>
      <name val="Rockwell"/>
      <family val="1"/>
    </font>
    <font>
      <sz val="24"/>
      <color theme="1"/>
      <name val="Rockwell"/>
      <family val="1"/>
    </font>
    <font>
      <i/>
      <sz val="28"/>
      <color theme="1"/>
      <name val="Rockwell"/>
      <family val="1"/>
    </font>
    <font>
      <sz val="40"/>
      <color theme="1"/>
      <name val="Rockwell"/>
      <family val="1"/>
    </font>
    <font>
      <i/>
      <sz val="11"/>
      <color theme="7"/>
      <name val="Rockwell"/>
      <family val="1"/>
    </font>
    <font>
      <b/>
      <sz val="11"/>
      <color rgb="FFFF0000"/>
      <name val="Rockwell"/>
      <family val="1"/>
    </font>
    <font>
      <sz val="10"/>
      <color rgb="FF00B0F0"/>
      <name val="Rockwell"/>
      <family val="1"/>
    </font>
    <font>
      <b/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1"/>
      <name val="Arial"/>
    </font>
    <font>
      <b/>
      <sz val="14"/>
      <color rgb="FF00B050"/>
      <name val="Arial"/>
      <family val="2"/>
    </font>
    <font>
      <b/>
      <sz val="14"/>
      <color theme="4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3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8" fillId="0" borderId="1" xfId="0" applyFont="1" applyBorder="1"/>
    <xf numFmtId="0" fontId="28" fillId="0" borderId="1" xfId="0" applyFont="1" applyBorder="1" applyAlignment="1">
      <alignment wrapText="1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wrapText="1"/>
    </xf>
    <xf numFmtId="0" fontId="33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0" fillId="0" borderId="5" xfId="0" applyBorder="1"/>
    <xf numFmtId="20" fontId="32" fillId="0" borderId="6" xfId="0" applyNumberFormat="1" applyFont="1" applyBorder="1" applyAlignment="1">
      <alignment horizontal="center" vertical="center"/>
    </xf>
    <xf numFmtId="20" fontId="32" fillId="0" borderId="7" xfId="0" applyNumberFormat="1" applyFont="1" applyBorder="1" applyAlignment="1">
      <alignment horizontal="center" vertical="center"/>
    </xf>
    <xf numFmtId="20" fontId="32" fillId="0" borderId="8" xfId="0" applyNumberFormat="1" applyFont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39" fillId="2" borderId="16" xfId="0" applyFont="1" applyFill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9" fillId="2" borderId="14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9" fillId="3" borderId="2" xfId="0" applyFont="1" applyFill="1" applyBorder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8" fillId="0" borderId="0" xfId="0" applyFont="1"/>
    <xf numFmtId="14" fontId="48" fillId="0" borderId="0" xfId="0" applyNumberFormat="1" applyFont="1"/>
    <xf numFmtId="0" fontId="50" fillId="0" borderId="0" xfId="0" pivotButton="1" applyFont="1"/>
    <xf numFmtId="0" fontId="50" fillId="0" borderId="0" xfId="0" applyFont="1"/>
    <xf numFmtId="0" fontId="50" fillId="0" borderId="0" xfId="0" applyFont="1" applyAlignment="1">
      <alignment horizontal="left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14" fontId="48" fillId="0" borderId="0" xfId="0" applyNumberFormat="1" applyFont="1" applyProtection="1">
      <protection locked="0"/>
    </xf>
    <xf numFmtId="0" fontId="48" fillId="0" borderId="0" xfId="0" applyFont="1" applyProtection="1">
      <protection locked="0"/>
    </xf>
    <xf numFmtId="165" fontId="48" fillId="0" borderId="0" xfId="0" applyNumberFormat="1" applyFont="1" applyProtection="1">
      <protection locked="0"/>
    </xf>
    <xf numFmtId="0" fontId="49" fillId="0" borderId="0" xfId="1" applyFont="1" applyProtection="1">
      <protection locked="0"/>
    </xf>
    <xf numFmtId="164" fontId="0" fillId="0" borderId="0" xfId="0" applyNumberFormat="1" applyProtection="1">
      <protection locked="0"/>
    </xf>
    <xf numFmtId="164" fontId="48" fillId="0" borderId="0" xfId="0" applyNumberFormat="1" applyFont="1" applyProtection="1">
      <protection locked="0"/>
    </xf>
    <xf numFmtId="0" fontId="0" fillId="0" borderId="0" xfId="0" applyAlignment="1">
      <alignment horizontal="center"/>
    </xf>
    <xf numFmtId="0" fontId="51" fillId="0" borderId="0" xfId="0" applyFont="1"/>
    <xf numFmtId="0" fontId="52" fillId="0" borderId="0" xfId="0" applyFont="1"/>
    <xf numFmtId="0" fontId="53" fillId="0" borderId="0" xfId="0" applyFont="1"/>
    <xf numFmtId="0" fontId="5" fillId="0" borderId="0" xfId="0" applyFont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 textRotation="90"/>
    </xf>
    <xf numFmtId="0" fontId="40" fillId="0" borderId="3" xfId="0" applyFont="1" applyBorder="1" applyAlignment="1">
      <alignment horizontal="center" vertical="center" textRotation="90"/>
    </xf>
    <xf numFmtId="0" fontId="31" fillId="0" borderId="0" xfId="0" applyFont="1" applyAlignment="1">
      <alignment horizontal="center" vertical="center" textRotation="45" wrapText="1"/>
    </xf>
    <xf numFmtId="0" fontId="31" fillId="0" borderId="2" xfId="0" applyFont="1" applyBorder="1" applyAlignment="1">
      <alignment horizontal="center" vertical="center" textRotation="45" wrapText="1"/>
    </xf>
    <xf numFmtId="0" fontId="32" fillId="0" borderId="0" xfId="0" applyFont="1" applyAlignment="1">
      <alignment horizontal="center" vertical="center" textRotation="90"/>
    </xf>
    <xf numFmtId="0" fontId="32" fillId="0" borderId="2" xfId="0" applyFont="1" applyBorder="1" applyAlignment="1">
      <alignment horizontal="center" vertical="center" textRotation="90"/>
    </xf>
    <xf numFmtId="0" fontId="32" fillId="0" borderId="4" xfId="0" applyFont="1" applyBorder="1" applyAlignment="1">
      <alignment horizontal="center" vertical="center" textRotation="90"/>
    </xf>
    <xf numFmtId="0" fontId="32" fillId="0" borderId="3" xfId="0" applyFont="1" applyBorder="1" applyAlignment="1">
      <alignment horizontal="center" vertical="center" textRotation="90"/>
    </xf>
    <xf numFmtId="0" fontId="39" fillId="0" borderId="0" xfId="0" applyFont="1" applyAlignment="1">
      <alignment horizontal="center" vertical="center" textRotation="45"/>
    </xf>
    <xf numFmtId="0" fontId="39" fillId="0" borderId="2" xfId="0" applyFont="1" applyBorder="1" applyAlignment="1">
      <alignment horizontal="center" vertical="center" textRotation="45"/>
    </xf>
    <xf numFmtId="0" fontId="39" fillId="0" borderId="10" xfId="0" applyFont="1" applyBorder="1" applyAlignment="1">
      <alignment horizontal="center" vertical="center" textRotation="45"/>
    </xf>
    <xf numFmtId="0" fontId="45" fillId="0" borderId="13" xfId="0" applyFont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8" fillId="0" borderId="4" xfId="0" applyFont="1" applyBorder="1" applyAlignment="1">
      <alignment horizontal="center" vertical="center" textRotation="90"/>
    </xf>
    <xf numFmtId="0" fontId="38" fillId="0" borderId="3" xfId="0" applyFont="1" applyBorder="1" applyAlignment="1">
      <alignment horizontal="center" vertical="center" textRotation="90"/>
    </xf>
    <xf numFmtId="0" fontId="42" fillId="0" borderId="4" xfId="0" applyFont="1" applyBorder="1" applyAlignment="1">
      <alignment horizontal="center" vertical="center" textRotation="90"/>
    </xf>
    <xf numFmtId="0" fontId="42" fillId="0" borderId="3" xfId="0" applyFont="1" applyBorder="1" applyAlignment="1">
      <alignment horizontal="center" vertical="center" textRotation="90"/>
    </xf>
    <xf numFmtId="0" fontId="41" fillId="0" borderId="4" xfId="0" applyFont="1" applyBorder="1" applyAlignment="1">
      <alignment horizontal="center" vertical="center" textRotation="90"/>
    </xf>
    <xf numFmtId="0" fontId="41" fillId="0" borderId="3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45"/>
    </xf>
    <xf numFmtId="0" fontId="44" fillId="0" borderId="15" xfId="0" applyFont="1" applyBorder="1" applyAlignment="1">
      <alignment horizontal="center" vertical="center" textRotation="45"/>
    </xf>
    <xf numFmtId="0" fontId="44" fillId="0" borderId="14" xfId="0" applyFont="1" applyBorder="1" applyAlignment="1">
      <alignment horizontal="center" vertical="center" textRotation="45"/>
    </xf>
    <xf numFmtId="0" fontId="44" fillId="0" borderId="11" xfId="0" applyFont="1" applyBorder="1" applyAlignment="1">
      <alignment horizontal="center" vertical="center" textRotation="45"/>
    </xf>
  </cellXfs>
  <cellStyles count="2">
    <cellStyle name="Hyperlink" xfId="1" builtinId="8"/>
    <cellStyle name="Normal" xfId="0" builtinId="0"/>
  </cellStyles>
  <dxfs count="135">
    <dxf>
      <numFmt numFmtId="165" formatCode="[$-F800]dddd\,\ mmmm\ dd\,\ yyyy"/>
    </dxf>
    <dxf>
      <numFmt numFmtId="0" formatCode="General"/>
    </dxf>
    <dxf>
      <protection locked="0" hidden="0"/>
    </dxf>
    <dxf>
      <protection locked="0" hidden="0"/>
    </dxf>
    <dxf>
      <numFmt numFmtId="0" formatCode="General"/>
    </dxf>
    <dxf>
      <protection locked="0" hidden="0"/>
    </dxf>
    <dxf>
      <numFmt numFmtId="0" formatCode="General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65" formatCode="[$-F800]dddd\,\ mmmm\ dd\,\ yyyy"/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65" formatCode="[$-F800]dddd\,\ mmmm\ dd\,\ yyyy"/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9" formatCode="d/mm/yyyy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64" formatCode="[$-1409]d\ mmmm\ yyyy;@"/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[School Database2.xlsx]Results 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Overall</a:t>
            </a:r>
            <a:r>
              <a:rPr lang="en-NZ" baseline="0"/>
              <a:t> Termly Performance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 Dashboard'!$B$15:$B$16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Dashboard'!$A$17:$A$23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Dashboard'!$B$17:$B$23</c:f>
              <c:numCache>
                <c:formatCode>General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3-40E5-9309-2E91019F754A}"/>
            </c:ext>
          </c:extLst>
        </c:ser>
        <c:ser>
          <c:idx val="1"/>
          <c:order val="1"/>
          <c:tx>
            <c:strRef>
              <c:f>'Results Dashboard'!$C$15:$C$16</c:f>
              <c:strCache>
                <c:ptCount val="1"/>
                <c:pt idx="0">
                  <c:v>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Dashboard'!$A$17:$A$23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Dashboard'!$C$17:$C$23</c:f>
              <c:numCache>
                <c:formatCode>General</c:formatCode>
                <c:ptCount val="6"/>
                <c:pt idx="2">
                  <c:v>86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D3-40E5-9309-2E91019F754A}"/>
            </c:ext>
          </c:extLst>
        </c:ser>
        <c:ser>
          <c:idx val="2"/>
          <c:order val="2"/>
          <c:tx>
            <c:strRef>
              <c:f>'Results Dashboard'!$D$15:$D$16</c:f>
              <c:strCache>
                <c:ptCount val="1"/>
                <c:pt idx="0">
                  <c:v>B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Dashboard'!$A$17:$A$23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Dashboard'!$D$17:$D$23</c:f>
              <c:numCache>
                <c:formatCode>General</c:formatCode>
                <c:ptCount val="6"/>
                <c:pt idx="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D3-40E5-9309-2E91019F754A}"/>
            </c:ext>
          </c:extLst>
        </c:ser>
        <c:ser>
          <c:idx val="3"/>
          <c:order val="3"/>
          <c:tx>
            <c:strRef>
              <c:f>'Results Dashboard'!$E$15:$E$16</c:f>
              <c:strCache>
                <c:ptCount val="1"/>
                <c:pt idx="0">
                  <c:v>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Dashboard'!$A$17:$A$23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Dashboard'!$E$17:$E$23</c:f>
              <c:numCache>
                <c:formatCode>General</c:formatCode>
                <c:ptCount val="6"/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D3-40E5-9309-2E91019F754A}"/>
            </c:ext>
          </c:extLst>
        </c:ser>
        <c:ser>
          <c:idx val="4"/>
          <c:order val="4"/>
          <c:tx>
            <c:strRef>
              <c:f>'Results Dashboard'!$F$15:$F$16</c:f>
              <c:strCache>
                <c:ptCount val="1"/>
                <c:pt idx="0">
                  <c:v>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Dashboard'!$A$17:$A$23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Dashboard'!$F$17:$F$23</c:f>
              <c:numCache>
                <c:formatCode>General</c:formatCode>
                <c:ptCount val="6"/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FD3-40E5-9309-2E91019F7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31452207"/>
        <c:axId val="2131454607"/>
      </c:barChart>
      <c:catAx>
        <c:axId val="213145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454607"/>
        <c:crosses val="autoZero"/>
        <c:auto val="1"/>
        <c:lblAlgn val="ctr"/>
        <c:lblOffset val="100"/>
        <c:noMultiLvlLbl val="0"/>
      </c:catAx>
      <c:valAx>
        <c:axId val="2131454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45220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[School Database2.xlsx]Results Dashboard!PivotTable3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Before Exam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914286830797311E-2"/>
          <c:y val="0.11813574777067203"/>
          <c:w val="0.64676115485564301"/>
          <c:h val="0.763866353663878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'Results Dashboard'!$J$15</c:f>
              <c:strCache>
                <c:ptCount val="1"/>
                <c:pt idx="0">
                  <c:v>Sum of 1st_CA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Dashboard'!$I$16:$I$22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Dashboard'!$J$16:$J$22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12</c:v>
                </c:pt>
                <c:pt idx="3">
                  <c:v>6</c:v>
                </c:pt>
                <c:pt idx="4">
                  <c:v>5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D-4DAD-8284-CABA1B918B3A}"/>
            </c:ext>
          </c:extLst>
        </c:ser>
        <c:ser>
          <c:idx val="1"/>
          <c:order val="1"/>
          <c:tx>
            <c:strRef>
              <c:f>'Results Dashboard'!$K$15</c:f>
              <c:strCache>
                <c:ptCount val="1"/>
                <c:pt idx="0">
                  <c:v>Sum of 2nd_CA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Dashboard'!$I$16:$I$22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Dashboard'!$K$16:$K$22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13</c:v>
                </c:pt>
                <c:pt idx="3">
                  <c:v>8</c:v>
                </c:pt>
                <c:pt idx="4">
                  <c:v>8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4D-4DAD-8284-CABA1B918B3A}"/>
            </c:ext>
          </c:extLst>
        </c:ser>
        <c:ser>
          <c:idx val="2"/>
          <c:order val="2"/>
          <c:tx>
            <c:strRef>
              <c:f>'Results Dashboard'!$L$15</c:f>
              <c:strCache>
                <c:ptCount val="1"/>
                <c:pt idx="0">
                  <c:v>Sum of Assignment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Dashboard'!$I$16:$I$22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Dashboard'!$L$16:$L$22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</c:v>
                </c:pt>
                <c:pt idx="3">
                  <c:v>2</c:v>
                </c:pt>
                <c:pt idx="4">
                  <c:v>3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4D-4DAD-8284-CABA1B918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58220431"/>
        <c:axId val="358234831"/>
      </c:barChart>
      <c:catAx>
        <c:axId val="35822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234831"/>
        <c:crosses val="autoZero"/>
        <c:auto val="1"/>
        <c:lblAlgn val="ctr"/>
        <c:lblOffset val="100"/>
        <c:noMultiLvlLbl val="0"/>
      </c:catAx>
      <c:valAx>
        <c:axId val="35823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22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[School Database2.xlsx]Results 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Exam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443871901394128E-2"/>
          <c:y val="0.25495584254655707"/>
          <c:w val="0.86099178313819469"/>
          <c:h val="0.595422758736269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'Results Dashboard'!$O$15:$O$16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Dashboard'!$N$17:$N$23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Dashboard'!$O$17:$O$23</c:f>
              <c:numCache>
                <c:formatCode>General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6-41DE-8ED3-BCBA56A30C37}"/>
            </c:ext>
          </c:extLst>
        </c:ser>
        <c:ser>
          <c:idx val="1"/>
          <c:order val="1"/>
          <c:tx>
            <c:strRef>
              <c:f>'Results Dashboard'!$P$15:$P$16</c:f>
              <c:strCache>
                <c:ptCount val="1"/>
                <c:pt idx="0">
                  <c:v>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Dashboard'!$N$17:$N$23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Dashboard'!$P$17:$P$23</c:f>
              <c:numCache>
                <c:formatCode>General</c:formatCode>
                <c:ptCount val="6"/>
                <c:pt idx="2">
                  <c:v>53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86-41DE-8ED3-BCBA56A30C37}"/>
            </c:ext>
          </c:extLst>
        </c:ser>
        <c:ser>
          <c:idx val="2"/>
          <c:order val="2"/>
          <c:tx>
            <c:strRef>
              <c:f>'Results Dashboard'!$Q$15:$Q$16</c:f>
              <c:strCache>
                <c:ptCount val="1"/>
                <c:pt idx="0">
                  <c:v>B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Dashboard'!$N$17:$N$23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Dashboard'!$Q$17:$Q$23</c:f>
              <c:numCache>
                <c:formatCode>General</c:formatCode>
                <c:ptCount val="6"/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86-41DE-8ED3-BCBA56A30C37}"/>
            </c:ext>
          </c:extLst>
        </c:ser>
        <c:ser>
          <c:idx val="3"/>
          <c:order val="3"/>
          <c:tx>
            <c:strRef>
              <c:f>'Results Dashboard'!$R$15:$R$16</c:f>
              <c:strCache>
                <c:ptCount val="1"/>
                <c:pt idx="0">
                  <c:v>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Dashboard'!$N$17:$N$23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Dashboard'!$R$17:$R$23</c:f>
              <c:numCache>
                <c:formatCode>General</c:formatCode>
                <c:ptCount val="6"/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86-41DE-8ED3-BCBA56A30C37}"/>
            </c:ext>
          </c:extLst>
        </c:ser>
        <c:ser>
          <c:idx val="4"/>
          <c:order val="4"/>
          <c:tx>
            <c:strRef>
              <c:f>'Results Dashboard'!$S$15:$S$16</c:f>
              <c:strCache>
                <c:ptCount val="1"/>
                <c:pt idx="0">
                  <c:v>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Dashboard'!$N$17:$N$23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Dashboard'!$S$17:$S$23</c:f>
              <c:numCache>
                <c:formatCode>General</c:formatCode>
                <c:ptCount val="6"/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86-41DE-8ED3-BCBA56A30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58290991"/>
        <c:axId val="358287151"/>
      </c:barChart>
      <c:catAx>
        <c:axId val="35829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287151"/>
        <c:crosses val="autoZero"/>
        <c:auto val="1"/>
        <c:lblAlgn val="ctr"/>
        <c:lblOffset val="100"/>
        <c:noMultiLvlLbl val="0"/>
      </c:catAx>
      <c:valAx>
        <c:axId val="35828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29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</xdr:rowOff>
    </xdr:from>
    <xdr:to>
      <xdr:col>7</xdr:col>
      <xdr:colOff>577274</xdr:colOff>
      <xdr:row>13</xdr:row>
      <xdr:rowOff>134156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2A3458-5383-48FD-B33F-022148FCB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111315</xdr:colOff>
      <xdr:row>2</xdr:row>
      <xdr:rowOff>7923</xdr:rowOff>
    </xdr:from>
    <xdr:to>
      <xdr:col>19</xdr:col>
      <xdr:colOff>982657</xdr:colOff>
      <xdr:row>13</xdr:row>
      <xdr:rowOff>170597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BE6C9D-83FC-ECD4-D14A-828C67E68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199029</xdr:colOff>
      <xdr:row>2</xdr:row>
      <xdr:rowOff>14310</xdr:rowOff>
    </xdr:from>
    <xdr:to>
      <xdr:col>11</xdr:col>
      <xdr:colOff>1661382</xdr:colOff>
      <xdr:row>13</xdr:row>
      <xdr:rowOff>156379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64B182-7628-B9C6-FE2D-B5AFA6F44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iah Ojo" refreshedDate="46018.809784837962" createdVersion="8" refreshedVersion="8" minRefreshableVersion="3" recordCount="20" xr:uid="{6515B1E6-14DA-4AB5-AECD-0A7A1E7F148B}">
  <cacheSource type="worksheet">
    <worksheetSource name="Result"/>
  </cacheSource>
  <cacheFields count="9">
    <cacheField name="Subject_Name" numFmtId="0">
      <sharedItems count="6">
        <s v="Mathematics"/>
        <s v="English"/>
        <s v="Science"/>
        <s v="Computer"/>
        <s v="Music"/>
        <s v=""/>
      </sharedItems>
    </cacheField>
    <cacheField name="1st_CA" numFmtId="0">
      <sharedItems containsMixedTypes="1" containsNumber="1" containsInteger="1" minValue="3" maxValue="15"/>
    </cacheField>
    <cacheField name="2nd_CA" numFmtId="0">
      <sharedItems containsMixedTypes="1" containsNumber="1" containsInteger="1" minValue="8" maxValue="15"/>
    </cacheField>
    <cacheField name="Assignment" numFmtId="0">
      <sharedItems containsMixedTypes="1" containsNumber="1" containsInteger="1" minValue="2" maxValue="10"/>
    </cacheField>
    <cacheField name="Exam" numFmtId="0">
      <sharedItems containsMixedTypes="1" containsNumber="1" containsInteger="1" minValue="25" maxValue="53"/>
    </cacheField>
    <cacheField name="Total" numFmtId="0">
      <sharedItems containsSemiMixedTypes="0" containsString="0" containsNumber="1" containsInteger="1" minValue="0" maxValue="86"/>
    </cacheField>
    <cacheField name="Grade" numFmtId="0">
      <sharedItems count="5">
        <s v="A"/>
        <s v="B"/>
        <s v="C"/>
        <s v="E"/>
        <s v=""/>
      </sharedItems>
    </cacheField>
    <cacheField name="Remark" numFmtId="0">
      <sharedItems/>
    </cacheField>
    <cacheField name="Class_Posit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12"/>
    <n v="13"/>
    <n v="8"/>
    <n v="53"/>
    <n v="86"/>
    <x v="0"/>
    <s v="Excellent"/>
    <m/>
  </r>
  <r>
    <x v="1"/>
    <n v="3"/>
    <n v="12"/>
    <n v="5"/>
    <n v="48"/>
    <n v="68"/>
    <x v="1"/>
    <s v="V.Good"/>
    <m/>
  </r>
  <r>
    <x v="2"/>
    <n v="6"/>
    <n v="8"/>
    <n v="2"/>
    <n v="36"/>
    <n v="52"/>
    <x v="2"/>
    <s v="Good"/>
    <m/>
  </r>
  <r>
    <x v="3"/>
    <n v="5"/>
    <n v="8"/>
    <n v="3"/>
    <n v="25"/>
    <n v="41"/>
    <x v="3"/>
    <s v="Pass"/>
    <m/>
  </r>
  <r>
    <x v="4"/>
    <n v="15"/>
    <n v="15"/>
    <n v="10"/>
    <n v="30"/>
    <n v="70"/>
    <x v="0"/>
    <s v="Excellent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493A0-8889-4B83-B3DF-315C5242FB9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5:G23" firstHeaderRow="1" firstDataRow="2" firstDataCol="1"/>
  <pivotFields count="9">
    <pivotField axis="axisRow" showAll="0">
      <items count="7">
        <item x="5"/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axis="axisCol" showAll="0">
      <items count="6">
        <item x="4"/>
        <item x="0"/>
        <item x="1"/>
        <item x="2"/>
        <item x="3"/>
        <item t="default"/>
      </items>
    </pivotField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" fld="5" baseField="0" baseItem="0"/>
  </dataFields>
  <formats count="8">
    <format dxfId="40">
      <pivotArea outline="0" collapsedLevelsAreSubtotals="1" fieldPosition="0">
        <references count="1">
          <reference field="6" count="0" selected="0"/>
        </references>
      </pivotArea>
    </format>
    <format dxfId="39">
      <pivotArea type="origin" dataOnly="0" labelOnly="1" outline="0" fieldPosition="0"/>
    </format>
    <format dxfId="38">
      <pivotArea field="6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0" type="button" dataOnly="0" labelOnly="1" outline="0" axis="axisRow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6" count="0"/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BB1F8-0B41-435F-AA7D-EBF2E151619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I15:L22" firstHeaderRow="0" firstDataRow="1" firstDataCol="1"/>
  <pivotFields count="9">
    <pivotField axis="axisRow" showAll="0">
      <items count="7">
        <item x="5"/>
        <item x="1"/>
        <item x="0"/>
        <item x="2"/>
        <item x="3"/>
        <item x="4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1st_CA" fld="1" baseField="0" baseItem="0"/>
    <dataField name="Sum of 2nd_CA" fld="2" baseField="0" baseItem="0"/>
    <dataField name="Sum of Assignment" fld="3" baseField="0" baseItem="0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1FE61-A767-4774-B723-9247FFD0C22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N15:T23" firstHeaderRow="1" firstDataRow="2" firstDataCol="1"/>
  <pivotFields count="9">
    <pivotField axis="axisRow" showAll="0">
      <items count="7">
        <item x="5"/>
        <item x="1"/>
        <item x="0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6">
        <item x="4"/>
        <item x="0"/>
        <item x="1"/>
        <item x="2"/>
        <item x="3"/>
        <item t="default"/>
      </items>
    </pivotField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Exam" fld="4" baseField="0" baseItem="0"/>
  </dataFields>
  <formats count="8">
    <format dxfId="54">
      <pivotArea outline="0" collapsedLevelsAreSubtotals="1" fieldPosition="0">
        <references count="1">
          <reference field="6" count="0" selected="0"/>
        </references>
      </pivotArea>
    </format>
    <format dxfId="53">
      <pivotArea type="origin" dataOnly="0" labelOnly="1" outline="0" fieldPosition="0"/>
    </format>
    <format dxfId="52">
      <pivotArea field="6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0" count="0"/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6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7EE615-E4A9-4933-8E2B-430F85874E74}" name="Student" displayName="Student" ref="A1:S101" totalsRowShown="0" dataDxfId="134">
  <autoFilter ref="A1:S101" xr:uid="{6F7EE615-E4A9-4933-8E2B-430F85874E74}"/>
  <tableColumns count="19">
    <tableColumn id="1" xr3:uid="{C321DBD4-BFE9-4B69-BF05-D3FC733CDF4B}" name="Student_ID" dataDxfId="133"/>
    <tableColumn id="2" xr3:uid="{D1736345-9E80-424F-AA27-7FF77EA681D4}" name="Admission_Number" dataDxfId="132"/>
    <tableColumn id="3" xr3:uid="{38C9096C-F54E-48C7-94B5-8E0465E9675B}" name="First_Name" dataDxfId="131"/>
    <tableColumn id="4" xr3:uid="{A157B50F-8947-450F-BDF2-2E8BCEAC1869}" name="Middle_Name" dataDxfId="130"/>
    <tableColumn id="5" xr3:uid="{C5774F69-8628-4B2A-AF1F-AC6B1D107169}" name="Last_Name" dataDxfId="129"/>
    <tableColumn id="6" xr3:uid="{B993E7A5-10C0-4824-8F42-2D960A441A7B}" name="Gender" dataDxfId="128"/>
    <tableColumn id="7" xr3:uid="{359268BA-BC5E-4779-B912-7B339FB5051D}" name="DOB" dataDxfId="127"/>
    <tableColumn id="8" xr3:uid="{B86DAC51-6B22-4FB4-BC2A-680B22A33E3C}" name="Age" dataDxfId="126"/>
    <tableColumn id="9" xr3:uid="{CD4C82BE-6798-4F09-AD34-EA72A3062AEA}" name="Blood_Group" dataDxfId="125"/>
    <tableColumn id="10" xr3:uid="{401C73FA-1A11-4661-8AF4-B98CD8DF05F6}" name="Class" dataDxfId="124"/>
    <tableColumn id="11" xr3:uid="{EBAF14E9-F133-4F6A-AB81-0A725C8EE638}" name="Admission_Date" dataDxfId="123"/>
    <tableColumn id="12" xr3:uid="{5930E980-207B-4A0A-B50C-B00E3DE5E591}" name="Student_Status" dataDxfId="122"/>
    <tableColumn id="13" xr3:uid="{3781C27F-4942-41B4-A724-22FEF81A63C9}" name="Guardian_Name" dataDxfId="121"/>
    <tableColumn id="14" xr3:uid="{68E6E641-C267-4C97-B169-EB0F45967FE6}" name="Relationship" dataDxfId="120"/>
    <tableColumn id="15" xr3:uid="{FF6313C1-3778-44DC-9159-750880029C9C}" name="Phone" dataDxfId="119"/>
    <tableColumn id="16" xr3:uid="{F7A127D9-C735-4D3B-A44A-08A06CA2528C}" name="Email" dataDxfId="118"/>
    <tableColumn id="17" xr3:uid="{26875DE6-57E6-4233-8431-DEF030ACFC87}" name="Home_Address" dataDxfId="117"/>
    <tableColumn id="18" xr3:uid="{1642D0C1-8C13-4F80-9B34-E5E7F1DA85DD}" name="Hostel" dataDxfId="116"/>
    <tableColumn id="19" xr3:uid="{01F6AE2E-1555-4FC9-8B64-686E486408D4}" name="Special_Needs" dataDxfId="115"/>
  </tableColumns>
  <tableStyleInfo name="TableStyleLight1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16091B3-5E72-40C3-9CEB-687C7ED52C37}" name="Teacher" displayName="Teacher" ref="A1:M101" totalsRowShown="0" dataDxfId="114">
  <autoFilter ref="A1:M101" xr:uid="{816091B3-5E72-40C3-9CEB-687C7ED52C37}"/>
  <tableColumns count="13">
    <tableColumn id="1" xr3:uid="{E19DDAA4-FDBE-4989-97E9-2BEE6F21A953}" name="Teacher_ID" dataDxfId="113"/>
    <tableColumn id="2" xr3:uid="{E12AD2E5-74FA-4D6E-9C65-BC10375213A6}" name="Staff_Number" dataDxfId="112"/>
    <tableColumn id="3" xr3:uid="{8CCDF5C6-6BE3-41F9-A224-938416D8A7DF}" name="Full_Name" dataDxfId="111"/>
    <tableColumn id="4" xr3:uid="{DB575646-821A-4ADC-9791-3DCBECC43B43}" name="Gender" dataDxfId="110"/>
    <tableColumn id="5" xr3:uid="{FD3617B4-BFAF-4213-9496-A933B575C431}" name="Qualification" dataDxfId="109"/>
    <tableColumn id="6" xr3:uid="{CC90BB9C-0CBF-41AF-879C-C40F67A4AB4B}" name="Subject_Specialization" dataDxfId="108"/>
    <tableColumn id="7" xr3:uid="{080299D1-894A-4466-97BA-8B2C1E17BE80}" name="Class_Teacher" dataDxfId="107"/>
    <tableColumn id="8" xr3:uid="{43C945E6-C258-46BB-B62A-5C0E1B0EC35F}" name="Class_Assigned" dataDxfId="106"/>
    <tableColumn id="9" xr3:uid="{FF2E67DF-BADF-4180-A1E1-48BDF16B2DAA}" name="Employment_Type" dataDxfId="105"/>
    <tableColumn id="10" xr3:uid="{CA833EAD-F4D6-44E8-91EF-9A6F48C0A83A}" name="Date_Employed" dataDxfId="104"/>
    <tableColumn id="11" xr3:uid="{A4E2C485-D4C4-4235-A818-C582587F2651}" name="Phone" dataDxfId="103"/>
    <tableColumn id="12" xr3:uid="{6EF29A56-5F27-4F6A-A90D-098552A4C261}" name="Email" dataDxfId="102"/>
    <tableColumn id="13" xr3:uid="{A8E1AD95-D26B-4C9C-9E8E-F089A1732135}" name="Status" dataDxfId="101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4A28CC-5246-42D2-A023-BAB7CB876D58}" name="Subject" displayName="Subject" ref="A1:G101" totalsRowShown="0" dataDxfId="100">
  <autoFilter ref="A1:G101" xr:uid="{074A28CC-5246-42D2-A023-BAB7CB876D58}"/>
  <tableColumns count="7">
    <tableColumn id="1" xr3:uid="{B6C377A6-40BF-4115-9005-FB4FD97A701B}" name="Subject_ID" dataDxfId="99"/>
    <tableColumn id="2" xr3:uid="{84172911-475A-440F-9D9B-F2DAB1883811}" name="Subject_Name" dataDxfId="98"/>
    <tableColumn id="3" xr3:uid="{B3C9B1DA-FAC1-44D5-986E-78D55262B730}" name="Department" dataDxfId="97"/>
    <tableColumn id="4" xr3:uid="{63EEDB2D-8475-4FF5-88A7-92C5DB283FB2}" name="Class" dataDxfId="96"/>
    <tableColumn id="5" xr3:uid="{EA56D954-DA33-4FF2-96C8-D9A907F134D3}" name="Weekly_Periods" dataDxfId="95"/>
    <tableColumn id="6" xr3:uid="{1590DA7C-3535-4FC4-B0DF-B90CE250BC20}" name="Teacher_ID" dataDxfId="94"/>
    <tableColumn id="7" xr3:uid="{EBC10290-8DB0-4E54-B4EC-96E1AC08BFE3}" name="Teacher Name" dataDxfId="93">
      <calculatedColumnFormula>_xlfn.XLOOKUP(Subject[[#This Row],[Teacher_ID]],Teachers!A:A,Teachers!C:C)</calculatedColumnFormula>
    </tableColumn>
  </tableColumns>
  <tableStyleInfo name="TableStyleMedium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BF68804-D7B6-44F7-BF23-92745C95D63F}" name="Class" displayName="Class" ref="A1:E101" totalsRowShown="0" dataDxfId="92">
  <autoFilter ref="A1:E101" xr:uid="{8BF68804-D7B6-44F7-BF23-92745C95D63F}"/>
  <tableColumns count="5">
    <tableColumn id="1" xr3:uid="{F929D284-9D4B-46D9-BE8B-B1618C88CA2D}" name="Class_ID" dataDxfId="91"/>
    <tableColumn id="2" xr3:uid="{C7FD3B90-13DD-40E2-AA50-645D595C76CC}" name="Class_Name" dataDxfId="90"/>
    <tableColumn id="3" xr3:uid="{D568B063-76B0-4954-9E28-54AA601F82D5}" name="Class_Teacher_ID" dataDxfId="89"/>
    <tableColumn id="4" xr3:uid="{102215F2-338D-42FF-98D7-BE9FFA91B885}" name="Total_Students" dataDxfId="88">
      <calculatedColumnFormula xml:space="preserve"> COUNTIF(Students!J:J,#REF!)</calculatedColumnFormula>
    </tableColumn>
    <tableColumn id="5" xr3:uid="{F5993E08-359B-4B6F-8513-8A97904C311C}" name="Room_Number" dataDxfId="87"/>
  </tableColumns>
  <tableStyleInfo name="TableStyleLight1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187970-D352-4D67-96C9-4B3FA0483D68}" name="Brushsheet" displayName="Brushsheet" ref="A1:M101" totalsRowShown="0" dataDxfId="86">
  <autoFilter ref="A1:M101" xr:uid="{3B187970-D352-4D67-96C9-4B3FA0483D68}"/>
  <tableColumns count="13">
    <tableColumn id="1" xr3:uid="{A6BEFF0F-D8B8-4E70-8D11-07B55FF2A00F}" name="Student ID" dataDxfId="85"/>
    <tableColumn id="2" xr3:uid="{CB7EA1EE-A9B1-41F6-9C48-C3C44432D0DC}" name="Student Name" dataDxfId="84">
      <calculatedColumnFormula>CONCATENATE(_xlfn.XLOOKUP(Brushsheet[[#This Row],[Student ID]],Students!A:A,Students!E:E)," ",_xlfn.XLOOKUP(Brushsheet[[#This Row],[Student ID]],Students!A:A,Students!C:C)," ",_xlfn.XLOOKUP(Brushsheet[[#This Row],[Student ID]],Students!A:A,Students!D:D))</calculatedColumnFormula>
    </tableColumn>
    <tableColumn id="3" xr3:uid="{DFFC107D-B1A5-4A8A-B6EE-998E1B7EDCBB}" name="Class" dataDxfId="83">
      <calculatedColumnFormula>_xlfn.XLOOKUP(Brushsheet[[#This Row],[Student ID]],Students!A:A,Students!J:J)</calculatedColumnFormula>
    </tableColumn>
    <tableColumn id="4" xr3:uid="{79D9E1D6-AD6D-4255-8AED-A64CFD0D19DE}" name="Subject ID" dataDxfId="82"/>
    <tableColumn id="5" xr3:uid="{A56A2AA8-A69B-419E-869C-B9522FB0CA18}" name="Subject Name" dataDxfId="81">
      <calculatedColumnFormula>_xlfn.XLOOKUP(Brushsheet[[#This Row],[Subject ID]],Subjects!A:A,Subjects!B:B)</calculatedColumnFormula>
    </tableColumn>
    <tableColumn id="6" xr3:uid="{4B4E8FBC-293B-4FCF-B517-8E924486982E}" name="Term" dataDxfId="80"/>
    <tableColumn id="7" xr3:uid="{D651CF51-EE91-4517-B4B9-0F8BBC677AB8}" name="1st CA" dataDxfId="79"/>
    <tableColumn id="11" xr3:uid="{EB5C5C64-687A-4C75-90A6-5D81FEADB5F4}" name="2nd CA" dataDxfId="78"/>
    <tableColumn id="12" xr3:uid="{A0503282-FA1B-402E-B1D4-9F778E47634A}" name="Assignment" dataDxfId="77"/>
    <tableColumn id="8" xr3:uid="{06A51B2F-18DA-43D6-835C-380D58CC0616}" name="Exam Score" dataDxfId="76"/>
    <tableColumn id="9" xr3:uid="{738F49E2-0605-47F8-B191-9038691106F3}" name="Total" dataDxfId="75">
      <calculatedColumnFormula>SUM(Brushsheet[[#This Row],[1st CA]:[Exam Score]])</calculatedColumnFormula>
    </tableColumn>
    <tableColumn id="10" xr3:uid="{A7782D37-7D14-4685-9A99-B2AF92AA7BB2}" name="Grade" dataDxfId="74">
      <calculatedColumnFormula>IF(Brushsheet[[#This Row],[Total]]&gt;=70,"A",IF(Brushsheet[[#This Row],[Total]]&gt;=60,"B",IF(Brushsheet[[#This Row],[Total]]&gt;=50,"C",IF(Brushsheet[[#This Row],[Total]]&gt;=45,"D",IF(Brushsheet[[#This Row],[Total]]&gt;=40,"E","F")))))</calculatedColumnFormula>
    </tableColumn>
    <tableColumn id="13" xr3:uid="{38883FE9-BF1E-4B63-9C38-71014B97FC45}" name="Remark" dataDxfId="73">
      <calculatedColumnFormula>IF(Brushsheet[[#This Row],[Total]]&gt;=70,"Excellent",IF(Brushsheet[[#This Row],[Total]]&gt;=60,"V.Good",IF(Brushsheet[[#This Row],[Total]]&gt;=50,"Good",IF(Brushsheet[[#This Row],[Total]]&gt;=45,"Fair",IF(Brushsheet[[#This Row],[Total]]&gt;=40,"Pass","Weak")))))</calculatedColumnFormula>
    </tableColumn>
  </tableColumns>
  <tableStyleInfo name="TableStyleMedium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7B137-93D6-4819-B1FF-C1FC65209EEE}" name="Table1" displayName="Table1" ref="B2:G3" totalsRowShown="0" headerRowDxfId="72" dataDxfId="71">
  <autoFilter ref="B2:G3" xr:uid="{C827B137-93D6-4819-B1FF-C1FC65209EEE}"/>
  <tableColumns count="6">
    <tableColumn id="1" xr3:uid="{C9333DB7-64F7-4C7D-8EE9-D6353A845E3D}" name="Student_ID" dataDxfId="70"/>
    <tableColumn id="2" xr3:uid="{3B39388E-6DC0-4FB9-A690-D8D823E7D866}" name="Student_Name" dataDxfId="69">
      <calculatedColumnFormula>CONCATENATE((_xlfn.XLOOKUP(Table1[[#This Row],[Student_ID]],Students!A:A,Students!E:E))," ",(_xlfn.XLOOKUP(Table1[[#This Row],[Student_ID]],Students!A:A,Students!C:C))," ",(_xlfn.XLOOKUP(Table1[[#This Row],[Student_ID]],Students!A:A,Students!D:D)))</calculatedColumnFormula>
    </tableColumn>
    <tableColumn id="3" xr3:uid="{D0934444-66EC-42F6-95C2-633B795ACC49}" name="Term" dataDxfId="68"/>
    <tableColumn id="4" xr3:uid="{F728F763-D4B7-414E-B213-7AAFF98C8295}" name="Session" dataDxfId="67"/>
    <tableColumn id="5" xr3:uid="{A5FB3EBC-0FFE-4A5D-A226-C97A92A3D69C}" name="Class" dataDxfId="66">
      <calculatedColumnFormula>_xlfn.XLOOKUP(Table1[[#This Row],[Student_ID]],Students!A:A,Students!J:J)</calculatedColumnFormula>
    </tableColumn>
    <tableColumn id="6" xr3:uid="{209422A0-DE8D-4D27-B671-EB57059916D4}" name="Gender" dataDxfId="65">
      <calculatedColumnFormula>VLOOKUP(Table1[[#This Row],[Student_ID]],Students!A:F,6,FALSE)</calculatedColumnFormula>
    </tableColumn>
  </tableColumns>
  <tableStyleInfo name="TableStyleMedium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4BAEBA-5104-4509-98C0-DB6B61BF9440}" name="Result" displayName="Result" ref="B4:J24" totalsRowShown="0" dataDxfId="64">
  <autoFilter ref="B4:J24" xr:uid="{B14BAEBA-5104-4509-98C0-DB6B61BF9440}"/>
  <tableColumns count="9">
    <tableColumn id="2" xr3:uid="{7DA0C07C-6755-40E4-9013-6D7E6DC4B32B}" name="Subject_Name" dataDxfId="63">
      <calculatedColumnFormula array="1">IFERROR(INDEX(Brushsheet!E:E,SMALL(IF(Brushsheet!A:A=Table1[Student_ID],ROW(Brushsheet!A:A)),ROW(A1))),"")</calculatedColumnFormula>
    </tableColumn>
    <tableColumn id="3" xr3:uid="{1E85DF3D-1CE3-4A86-A28E-19352E9ED0AF}" name="1st_CA" dataDxfId="62">
      <calculatedColumnFormula array="1">_xlfn.XLOOKUP(1,(Brushsheet!A:A=Table1[Student_ID])*(Brushsheet!E:E=Result[[#This Row],[Subject_Name]]),Brushsheet!G:G,"")</calculatedColumnFormula>
    </tableColumn>
    <tableColumn id="4" xr3:uid="{ECEEB782-F7A4-43B4-A9B2-723FA76B858C}" name="2nd_CA" dataDxfId="61">
      <calculatedColumnFormula array="1">_xlfn.XLOOKUP(1,(Brushsheet!A:A=Table1[Student_ID])*(Brushsheet!E:E=Result[[#This Row],[Subject_Name]]),Brushsheet!H:H,"")</calculatedColumnFormula>
    </tableColumn>
    <tableColumn id="5" xr3:uid="{62551D90-C8E7-47FA-BB53-62F237F8C0DD}" name="Assignment" dataDxfId="60">
      <calculatedColumnFormula array="1">_xlfn.XLOOKUP(1,(Brushsheet!A:A=Table1[Student_ID])*(Brushsheet!E:E=Result[[#This Row],[Subject_Name]]),Brushsheet!I:I,"")</calculatedColumnFormula>
    </tableColumn>
    <tableColumn id="6" xr3:uid="{61CCB973-3818-4530-B1C5-FE7988BE97BD}" name="Exam" dataDxfId="59">
      <calculatedColumnFormula array="1">_xlfn.XLOOKUP(1,(Brushsheet!A:A=Table1[Student_ID])*(Brushsheet!E:E=Result[[#This Row],[Subject_Name]]),Brushsheet!J:J,"")</calculatedColumnFormula>
    </tableColumn>
    <tableColumn id="7" xr3:uid="{364B9AE9-3653-4092-9715-E3551D221F45}" name="Total" dataDxfId="58">
      <calculatedColumnFormula>SUM(C5:F5)</calculatedColumnFormula>
    </tableColumn>
    <tableColumn id="8" xr3:uid="{87F99BDF-8814-4306-AA9A-CEA153C38B86}" name="Grade" dataDxfId="57">
      <calculatedColumnFormula array="1">_xlfn.XLOOKUP(1,(Brushsheet!A:A=Table1[Student_ID])*(Brushsheet!E:E=Result[[#This Row],[Subject_Name]]),Brushsheet!L:L,"")</calculatedColumnFormula>
    </tableColumn>
    <tableColumn id="9" xr3:uid="{F6F3947B-5872-4425-B4FC-26F2F2BF2E63}" name="Remark" dataDxfId="56">
      <calculatedColumnFormula array="1">_xlfn.XLOOKUP(1,(Brushsheet!A:A=Table1[Student_ID])*(Brushsheet!E:E=Result[[#This Row],[Subject_Name]]),Brushsheet!M:M,"")</calculatedColumnFormula>
    </tableColumn>
    <tableColumn id="10" xr3:uid="{916099F8-54C9-466C-95E7-A71D34555324}" name="Class_Position" dataDxfId="55"/>
  </tableColumns>
  <tableStyleInfo name="TableStyleMedium3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342395-2A38-472E-96F4-F8B5BF436340}" name="Attendance" displayName="Attendance" ref="A1:F101" totalsRowShown="0" headerRowDxfId="32" dataDxfId="31">
  <autoFilter ref="A1:F101" xr:uid="{41342395-2A38-472E-96F4-F8B5BF436340}"/>
  <tableColumns count="6">
    <tableColumn id="1" xr3:uid="{48C679FB-A9E4-483F-8D7E-2DAE6F99FDE5}" name="Student_ID" dataDxfId="30"/>
    <tableColumn id="2" xr3:uid="{302CD141-1948-4791-AC25-78EEB9EA04A5}" name="Class" dataDxfId="29"/>
    <tableColumn id="3" xr3:uid="{A30DE13A-D7D8-4F50-BF7A-5A61175FF7FA}" name="Date" dataDxfId="28"/>
    <tableColumn id="4" xr3:uid="{599382C1-AEF6-46EB-B0C5-790D799EC841}" name="Day" dataDxfId="27"/>
    <tableColumn id="5" xr3:uid="{1E2617D7-2C30-435A-ADC5-674D9DC6DC32}" name="Status" dataDxfId="26"/>
    <tableColumn id="6" xr3:uid="{841348C1-740C-4E61-AB8B-D394C2B68F43}" name="Reason_for_Absence" dataDxfId="25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2856052-1B20-48A9-8282-D9D74246313D}" name="Fees" displayName="Fees" ref="A1:L101" totalsRowShown="0" dataDxfId="24">
  <autoFilter ref="A1:L101" xr:uid="{62856052-1B20-48A9-8282-D9D74246313D}"/>
  <tableColumns count="12">
    <tableColumn id="1" xr3:uid="{9A0B6E32-AC00-416C-B5C3-B4A8CB2EA403}" name="Student_ID" dataDxfId="23"/>
    <tableColumn id="12" xr3:uid="{D29A575E-9F23-49AC-AEE1-FB24F1FFDD48}" name="Student Name" dataDxfId="22">
      <calculatedColumnFormula>CONCATENATE((VLOOKUP(Fees[[#This Row],[Student_ID]],Students!A:E,5,FALSE))," ", (VLOOKUP(Fees[[#This Row],[Student_ID]],Students!A:F,3,FALSE))," ", (VLOOKUP(Fees[[#This Row],[Student_ID]],Students!A:E,4,FALSE)))</calculatedColumnFormula>
    </tableColumn>
    <tableColumn id="2" xr3:uid="{2B745BFF-D995-4D17-B661-82415EBB43FF}" name="Session" dataDxfId="21"/>
    <tableColumn id="3" xr3:uid="{294F7375-5F61-4EFB-B862-5E6AE53194F6}" name="Term" dataDxfId="20"/>
    <tableColumn id="4" xr3:uid="{90BED1C1-0E46-4D8D-B46B-AF19078FA4A8}" name="Fee_Type" dataDxfId="19"/>
    <tableColumn id="5" xr3:uid="{EB19C1B0-3755-4B4A-9F49-EB9B9A88EC7A}" name="Amount_Expected" dataDxfId="18"/>
    <tableColumn id="6" xr3:uid="{42EF51A8-7A3B-4040-AB1E-A87C1FC35993}" name="Amount_Paid" dataDxfId="17"/>
    <tableColumn id="7" xr3:uid="{2B7D05B2-D525-479D-8A95-30D673A5305D}" name="Payment_Date" dataDxfId="16"/>
    <tableColumn id="8" xr3:uid="{45F7BEE2-2656-4535-A981-DD5185C32B5D}" name="Payment_Method" dataDxfId="15"/>
    <tableColumn id="9" xr3:uid="{77703095-DD17-43B0-8C07-99BB44E801F1}" name="Reciept_Number" dataDxfId="14"/>
    <tableColumn id="10" xr3:uid="{EDCC53CF-0A94-4A4C-95C2-48A205A539B2}" name="Fee Status" dataDxfId="13">
      <calculatedColumnFormula>IF(H2=0,"Paid","Outstanding")</calculatedColumnFormula>
    </tableColumn>
    <tableColumn id="11" xr3:uid="{DBDA9E61-1A22-4D04-9016-DA65EE3E62EA}" name="Balance" dataDxfId="12">
      <calculatedColumnFormula>F2-G2</calculatedColumnFormula>
    </tableColumn>
  </tableColumns>
  <tableStyleInfo name="TableStyleMedium5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22D90D3-E5A8-4315-B41E-4DFD4F03B8BB}" name="Discipline" displayName="Discipline" ref="A1:F101" totalsRowShown="0">
  <autoFilter ref="A1:F101" xr:uid="{F22D90D3-E5A8-4315-B41E-4DFD4F03B8BB}"/>
  <tableColumns count="6">
    <tableColumn id="1" xr3:uid="{D6E5A702-E5FC-499E-A6F0-1E2D39CDF88C}" name="Student_ID"/>
    <tableColumn id="2" xr3:uid="{DD17A91A-C182-4BFB-9102-1EF60F4F77EA}" name="Date"/>
    <tableColumn id="3" xr3:uid="{4B8270F2-A5AB-4613-B9CC-FAEA365D9524}" name="Incident_Type"/>
    <tableColumn id="4" xr3:uid="{7461CE9F-1893-435B-BD7C-02406AF6C128}" name="Description"/>
    <tableColumn id="5" xr3:uid="{792D1CE8-7C9C-4EF4-8909-71B36710F42A}" name="Action_Taken"/>
    <tableColumn id="6" xr3:uid="{19678803-0B66-4791-8EDC-B9867F8CC2B1}" name="Reported_By"/>
  </tableColumns>
  <tableStyleInfo name="TableStyleMedium9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40C50-E666-46C2-8158-F9AA16F5521E}" name="Table3" displayName="Table3" ref="A1:L101" totalsRowShown="0">
  <autoFilter ref="A1:L101" xr:uid="{93B40C50-E666-46C2-8158-F9AA16F5521E}"/>
  <tableColumns count="12">
    <tableColumn id="1" xr3:uid="{ACF43351-9595-43D7-A000-A84D817A991A}" name="Item ID" dataDxfId="11"/>
    <tableColumn id="2" xr3:uid="{E4F9857E-9D62-4682-AE77-F57C81C3968E}" name="Item Name" dataDxfId="10"/>
    <tableColumn id="3" xr3:uid="{CA57F2D0-4455-4217-8470-5EB8597E367F}" name="Category" dataDxfId="9"/>
    <tableColumn id="4" xr3:uid="{19081171-0D02-43BC-A61A-141D660BC571}" name="Quantity In" dataDxfId="8"/>
    <tableColumn id="5" xr3:uid="{9AC6050F-6FE5-4995-8122-9FD081DC985D}" name="Quantity Out" dataDxfId="7"/>
    <tableColumn id="6" xr3:uid="{908F8A4B-C01E-4DA6-9F6B-D0878E0EAF66}" name="Quantity Balance" dataDxfId="6">
      <calculatedColumnFormula>Table3[[#This Row],[Quantity In]]-Table3[[#This Row],[Quantity Out]]</calculatedColumnFormula>
    </tableColumn>
    <tableColumn id="7" xr3:uid="{B1366049-7CA1-4719-B579-6B0C23901E33}" name="Unit Price" dataDxfId="5"/>
    <tableColumn id="12" xr3:uid="{71FC9880-1806-4AD8-A56C-1B26F7C4BF70}" name="Purchase Cost" dataDxfId="4">
      <calculatedColumnFormula>Table3[[#This Row],[Quantity In]]*Table3[[#This Row],[Unit Price]]</calculatedColumnFormula>
    </tableColumn>
    <tableColumn id="8" xr3:uid="{6805A21C-9281-4D20-BD42-305DD66E8F25}" name="Location" dataDxfId="3"/>
    <tableColumn id="9" xr3:uid="{0BB2F9C4-0C1D-48DF-AD28-035D8C2513E5}" name="Reorder Level" dataDxfId="2"/>
    <tableColumn id="10" xr3:uid="{8E939FDA-0993-45A3-A04F-46873EA28A4E}" name="Stock status" dataDxfId="1">
      <calculatedColumnFormula>IF(Table3[[#This Row],[Quantity Balance]]&lt;=Table3[[#This Row],[Reorder Level]],"Reorder!","OK")</calculatedColumnFormula>
    </tableColumn>
    <tableColumn id="11" xr3:uid="{70329561-8696-4C1A-B138-D0C992C25087}" name="Last Updated" dataDxfId="0">
      <calculatedColumnFormula>TODAY()</calculatedColumnFormula>
    </tableColumn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jolectro777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jolectro777@gmail.com" TargetMode="External"/><Relationship Id="rId1" Type="http://schemas.openxmlformats.org/officeDocument/2006/relationships/hyperlink" Target="mailto:jolectro777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472E-C966-4662-B274-8F04C9D5B239}">
  <dimension ref="A1:S101"/>
  <sheetViews>
    <sheetView topLeftCell="J1" workbookViewId="0">
      <selection activeCell="S2" sqref="I2:S2"/>
    </sheetView>
  </sheetViews>
  <sheetFormatPr defaultRowHeight="15" x14ac:dyDescent="0.25"/>
  <cols>
    <col min="1" max="1" width="13" style="81" customWidth="1"/>
    <col min="2" max="2" width="20.7109375" style="81" customWidth="1"/>
    <col min="3" max="3" width="13.28515625" style="81" customWidth="1"/>
    <col min="4" max="4" width="15.85546875" style="81" customWidth="1"/>
    <col min="5" max="5" width="12.85546875" style="81" customWidth="1"/>
    <col min="6" max="6" width="9.85546875" style="81" customWidth="1"/>
    <col min="7" max="7" width="17.85546875" style="87" bestFit="1" customWidth="1"/>
    <col min="8" max="8" width="24.85546875" style="1" bestFit="1" customWidth="1"/>
    <col min="9" max="9" width="14.85546875" style="81" customWidth="1"/>
    <col min="10" max="10" width="7.5703125" style="81" customWidth="1"/>
    <col min="11" max="11" width="26.7109375" style="82" bestFit="1" customWidth="1"/>
    <col min="12" max="13" width="17.5703125" style="81" customWidth="1"/>
    <col min="14" max="14" width="15.28515625" style="81" customWidth="1"/>
    <col min="15" max="15" width="12.42578125" style="81" bestFit="1" customWidth="1"/>
    <col min="16" max="16" width="22.28515625" style="81" bestFit="1" customWidth="1"/>
    <col min="17" max="17" width="35.28515625" style="81" bestFit="1" customWidth="1"/>
    <col min="18" max="18" width="9" style="81" bestFit="1" customWidth="1"/>
    <col min="19" max="19" width="16.140625" style="81" customWidth="1"/>
  </cols>
  <sheetData>
    <row r="1" spans="1:19" x14ac:dyDescent="0.25">
      <c r="A1" s="81" t="s">
        <v>0</v>
      </c>
      <c r="B1" s="81" t="s">
        <v>21</v>
      </c>
      <c r="C1" s="81" t="s">
        <v>1</v>
      </c>
      <c r="D1" s="81" t="s">
        <v>22</v>
      </c>
      <c r="E1" s="81" t="s">
        <v>2</v>
      </c>
      <c r="F1" s="81" t="s">
        <v>3</v>
      </c>
      <c r="G1" s="87" t="s">
        <v>4</v>
      </c>
      <c r="H1" t="s">
        <v>23</v>
      </c>
      <c r="I1" s="81" t="s">
        <v>25</v>
      </c>
      <c r="J1" s="81" t="s">
        <v>5</v>
      </c>
      <c r="K1" s="82" t="s">
        <v>6</v>
      </c>
      <c r="L1" s="81" t="s">
        <v>24</v>
      </c>
      <c r="M1" s="81" t="s">
        <v>26</v>
      </c>
      <c r="N1" s="81" t="s">
        <v>27</v>
      </c>
      <c r="O1" s="81" t="s">
        <v>28</v>
      </c>
      <c r="P1" s="81" t="s">
        <v>29</v>
      </c>
      <c r="Q1" s="81" t="s">
        <v>30</v>
      </c>
      <c r="R1" s="81" t="s">
        <v>31</v>
      </c>
      <c r="S1" s="81" t="s">
        <v>32</v>
      </c>
    </row>
    <row r="2" spans="1:19" x14ac:dyDescent="0.25">
      <c r="A2" s="84">
        <v>1</v>
      </c>
      <c r="B2" s="84" t="s">
        <v>82</v>
      </c>
      <c r="C2" s="84" t="s">
        <v>7</v>
      </c>
      <c r="D2" s="84" t="s">
        <v>62</v>
      </c>
      <c r="E2" s="84" t="s">
        <v>8</v>
      </c>
      <c r="F2" s="84" t="s">
        <v>9</v>
      </c>
      <c r="G2" s="88">
        <v>40487</v>
      </c>
      <c r="H2" s="77" t="str">
        <f ca="1">IF(DATEDIF(G2, TODAY(), "y")=0,"",DATEDIF(G2, TODAY(), "y")&amp;"years, ")&amp;IF(DATEDIF(G2, TODAY(), "ym")=0,"",DATEDIF(G2, TODAY(), "ym")&amp;"months, ")&amp;IF(DATEDIF(G2, TODAY(), "md")=0,"",DATEDIF(G2, TODAY(), "md")&amp;"days")</f>
        <v>15years, 1months, 22days</v>
      </c>
      <c r="I2" s="83" t="s">
        <v>63</v>
      </c>
      <c r="J2" s="84" t="s">
        <v>10</v>
      </c>
      <c r="K2" s="85">
        <v>45674</v>
      </c>
      <c r="L2" s="83" t="s">
        <v>64</v>
      </c>
      <c r="M2" s="84" t="s">
        <v>83</v>
      </c>
      <c r="N2" s="84" t="s">
        <v>65</v>
      </c>
      <c r="O2" s="84">
        <v>7041979491</v>
      </c>
      <c r="P2" s="86" t="s">
        <v>66</v>
      </c>
      <c r="Q2" s="84" t="s">
        <v>67</v>
      </c>
      <c r="R2" s="84" t="s">
        <v>68</v>
      </c>
      <c r="S2" s="84" t="s">
        <v>69</v>
      </c>
    </row>
    <row r="3" spans="1:19" x14ac:dyDescent="0.25">
      <c r="A3" s="84"/>
      <c r="B3" s="84"/>
      <c r="C3" s="84"/>
      <c r="D3" s="84"/>
      <c r="E3" s="84"/>
      <c r="F3" s="84"/>
      <c r="G3" s="88"/>
      <c r="H3" s="77"/>
      <c r="I3" s="84"/>
      <c r="J3" s="84"/>
      <c r="K3" s="85"/>
      <c r="L3" s="84"/>
      <c r="M3" s="84"/>
      <c r="N3" s="84"/>
      <c r="O3" s="84"/>
      <c r="P3" s="84"/>
      <c r="Q3" s="84"/>
      <c r="R3" s="84"/>
      <c r="S3" s="84"/>
    </row>
    <row r="4" spans="1:19" x14ac:dyDescent="0.25">
      <c r="A4" s="84"/>
      <c r="B4" s="84"/>
      <c r="C4" s="84"/>
      <c r="D4" s="84"/>
      <c r="E4" s="84"/>
      <c r="F4" s="84"/>
      <c r="G4" s="88"/>
      <c r="H4" s="77"/>
      <c r="I4" s="84"/>
      <c r="J4" s="84"/>
      <c r="K4" s="85"/>
      <c r="L4" s="84"/>
      <c r="M4" s="84"/>
      <c r="N4" s="84"/>
      <c r="O4" s="84"/>
      <c r="P4" s="84"/>
      <c r="Q4" s="84"/>
      <c r="R4" s="84"/>
      <c r="S4" s="84"/>
    </row>
    <row r="5" spans="1:19" x14ac:dyDescent="0.25">
      <c r="A5" s="84"/>
      <c r="B5" s="84"/>
      <c r="C5" s="84"/>
      <c r="D5" s="84"/>
      <c r="E5" s="84"/>
      <c r="F5" s="84"/>
      <c r="G5" s="88"/>
      <c r="H5" s="77"/>
      <c r="I5" s="84"/>
      <c r="J5" s="84"/>
      <c r="K5" s="85"/>
      <c r="L5" s="84"/>
      <c r="M5" s="84"/>
      <c r="N5" s="84"/>
      <c r="O5" s="84"/>
      <c r="P5" s="84"/>
      <c r="Q5" s="84"/>
      <c r="R5" s="84"/>
      <c r="S5" s="84"/>
    </row>
    <row r="6" spans="1:19" x14ac:dyDescent="0.25">
      <c r="A6" s="84"/>
      <c r="B6" s="84"/>
      <c r="C6" s="84"/>
      <c r="D6" s="84"/>
      <c r="E6" s="84"/>
      <c r="F6" s="84"/>
      <c r="G6" s="88"/>
      <c r="H6" s="77"/>
      <c r="I6" s="84"/>
      <c r="J6" s="84"/>
      <c r="K6" s="85"/>
      <c r="L6" s="84"/>
      <c r="M6" s="84"/>
      <c r="N6" s="84"/>
      <c r="O6" s="84"/>
      <c r="P6" s="84"/>
      <c r="Q6" s="84"/>
      <c r="R6" s="84"/>
      <c r="S6" s="84"/>
    </row>
    <row r="7" spans="1:19" x14ac:dyDescent="0.25">
      <c r="A7" s="84"/>
      <c r="B7" s="84"/>
      <c r="C7" s="84"/>
      <c r="D7" s="84"/>
      <c r="E7" s="84"/>
      <c r="F7" s="84"/>
      <c r="G7" s="88"/>
      <c r="H7" s="77"/>
      <c r="I7" s="84"/>
      <c r="J7" s="84"/>
      <c r="K7" s="85"/>
      <c r="L7" s="84"/>
      <c r="M7" s="84"/>
      <c r="N7" s="84"/>
      <c r="O7" s="84"/>
      <c r="P7" s="84"/>
      <c r="Q7" s="84"/>
      <c r="R7" s="84"/>
      <c r="S7" s="84"/>
    </row>
    <row r="8" spans="1:19" x14ac:dyDescent="0.25">
      <c r="A8" s="84"/>
      <c r="B8" s="84"/>
      <c r="C8" s="84"/>
      <c r="D8" s="84"/>
      <c r="E8" s="84"/>
      <c r="F8" s="84"/>
      <c r="G8" s="88"/>
      <c r="H8" s="77"/>
      <c r="I8" s="84"/>
      <c r="J8" s="84"/>
      <c r="K8" s="85"/>
      <c r="L8" s="84"/>
      <c r="M8" s="84"/>
      <c r="N8" s="84"/>
      <c r="O8" s="84"/>
      <c r="P8" s="84"/>
      <c r="Q8" s="84"/>
      <c r="R8" s="84"/>
      <c r="S8" s="84"/>
    </row>
    <row r="9" spans="1:19" x14ac:dyDescent="0.25">
      <c r="A9" s="84"/>
      <c r="B9" s="84"/>
      <c r="C9" s="84"/>
      <c r="D9" s="84"/>
      <c r="E9" s="84"/>
      <c r="F9" s="84"/>
      <c r="G9" s="88"/>
      <c r="H9" s="77"/>
      <c r="I9" s="84"/>
      <c r="J9" s="84"/>
      <c r="K9" s="85"/>
      <c r="L9" s="84"/>
      <c r="M9" s="84"/>
      <c r="N9" s="84"/>
      <c r="O9" s="84"/>
      <c r="P9" s="84"/>
      <c r="Q9" s="84"/>
      <c r="R9" s="84"/>
      <c r="S9" s="84"/>
    </row>
    <row r="10" spans="1:19" x14ac:dyDescent="0.25">
      <c r="A10" s="84"/>
      <c r="B10" s="84"/>
      <c r="C10" s="84"/>
      <c r="D10" s="84"/>
      <c r="E10" s="84"/>
      <c r="F10" s="84"/>
      <c r="G10" s="88"/>
      <c r="H10" s="77"/>
      <c r="I10" s="84"/>
      <c r="J10" s="84"/>
      <c r="K10" s="85"/>
      <c r="L10" s="84"/>
      <c r="M10" s="84"/>
      <c r="N10" s="84"/>
      <c r="O10" s="84"/>
      <c r="P10" s="84"/>
      <c r="Q10" s="84"/>
      <c r="R10" s="84"/>
      <c r="S10" s="84"/>
    </row>
    <row r="11" spans="1:19" x14ac:dyDescent="0.25">
      <c r="A11" s="84"/>
      <c r="B11" s="84"/>
      <c r="C11" s="84"/>
      <c r="D11" s="84"/>
      <c r="E11" s="84"/>
      <c r="F11" s="84"/>
      <c r="G11" s="88"/>
      <c r="H11" s="77"/>
      <c r="I11" s="84"/>
      <c r="J11" s="84"/>
      <c r="K11" s="85"/>
      <c r="L11" s="84"/>
      <c r="M11" s="84"/>
      <c r="N11" s="84"/>
      <c r="O11" s="84"/>
      <c r="P11" s="84"/>
      <c r="Q11" s="84"/>
      <c r="R11" s="84"/>
      <c r="S11" s="84"/>
    </row>
    <row r="12" spans="1:19" x14ac:dyDescent="0.25">
      <c r="A12" s="84"/>
      <c r="B12" s="84"/>
      <c r="C12" s="84"/>
      <c r="D12" s="84"/>
      <c r="E12" s="84"/>
      <c r="F12" s="84"/>
      <c r="G12" s="88"/>
      <c r="H12" s="77"/>
      <c r="I12" s="84"/>
      <c r="J12" s="84"/>
      <c r="K12" s="85"/>
      <c r="L12" s="84"/>
      <c r="M12" s="84"/>
      <c r="N12" s="84"/>
      <c r="O12" s="84"/>
      <c r="P12" s="84"/>
      <c r="Q12" s="84"/>
      <c r="R12" s="84"/>
      <c r="S12" s="84"/>
    </row>
    <row r="13" spans="1:19" x14ac:dyDescent="0.25">
      <c r="A13" s="84"/>
      <c r="B13" s="84"/>
      <c r="C13" s="84"/>
      <c r="D13" s="84"/>
      <c r="E13" s="84"/>
      <c r="F13" s="84"/>
      <c r="G13" s="88"/>
      <c r="H13" s="77"/>
      <c r="I13" s="84"/>
      <c r="J13" s="84"/>
      <c r="K13" s="85"/>
      <c r="L13" s="84"/>
      <c r="M13" s="84"/>
      <c r="N13" s="84"/>
      <c r="O13" s="84"/>
      <c r="P13" s="84"/>
      <c r="Q13" s="84"/>
      <c r="R13" s="84"/>
      <c r="S13" s="84"/>
    </row>
    <row r="14" spans="1:19" x14ac:dyDescent="0.25">
      <c r="A14" s="84"/>
      <c r="B14" s="84"/>
      <c r="C14" s="84"/>
      <c r="D14" s="84"/>
      <c r="E14" s="84"/>
      <c r="F14" s="84"/>
      <c r="G14" s="88"/>
      <c r="H14" s="77"/>
      <c r="I14" s="84"/>
      <c r="J14" s="84"/>
      <c r="K14" s="85"/>
      <c r="L14" s="84"/>
      <c r="M14" s="84"/>
      <c r="N14" s="84"/>
      <c r="O14" s="84"/>
      <c r="P14" s="84"/>
      <c r="Q14" s="84"/>
      <c r="R14" s="84"/>
      <c r="S14" s="84"/>
    </row>
    <row r="15" spans="1:19" x14ac:dyDescent="0.25">
      <c r="A15" s="84"/>
      <c r="B15" s="84"/>
      <c r="C15" s="84"/>
      <c r="D15" s="84"/>
      <c r="E15" s="84"/>
      <c r="F15" s="84"/>
      <c r="G15" s="88"/>
      <c r="H15" s="77"/>
      <c r="I15" s="84"/>
      <c r="J15" s="84"/>
      <c r="K15" s="85"/>
      <c r="L15" s="84"/>
      <c r="M15" s="84"/>
      <c r="N15" s="84"/>
      <c r="O15" s="84"/>
      <c r="P15" s="84"/>
      <c r="Q15" s="84"/>
      <c r="R15" s="84"/>
      <c r="S15" s="84"/>
    </row>
    <row r="16" spans="1:19" x14ac:dyDescent="0.25">
      <c r="A16" s="84"/>
      <c r="B16" s="84"/>
      <c r="C16" s="84"/>
      <c r="D16" s="84"/>
      <c r="E16" s="84"/>
      <c r="F16" s="84"/>
      <c r="G16" s="88"/>
      <c r="H16" s="77"/>
      <c r="I16" s="84"/>
      <c r="J16" s="84"/>
      <c r="K16" s="85"/>
      <c r="L16" s="84"/>
      <c r="M16" s="84"/>
      <c r="N16" s="84"/>
      <c r="O16" s="84"/>
      <c r="P16" s="84"/>
      <c r="Q16" s="84"/>
      <c r="R16" s="84"/>
      <c r="S16" s="84"/>
    </row>
    <row r="17" spans="1:19" x14ac:dyDescent="0.25">
      <c r="A17" s="84"/>
      <c r="B17" s="84"/>
      <c r="C17" s="84"/>
      <c r="D17" s="84"/>
      <c r="E17" s="84"/>
      <c r="F17" s="84"/>
      <c r="G17" s="88"/>
      <c r="H17" s="77"/>
      <c r="I17" s="84"/>
      <c r="J17" s="84"/>
      <c r="K17" s="85"/>
      <c r="L17" s="84"/>
      <c r="M17" s="84"/>
      <c r="N17" s="84"/>
      <c r="O17" s="84"/>
      <c r="P17" s="84"/>
      <c r="Q17" s="84"/>
      <c r="R17" s="84"/>
      <c r="S17" s="84"/>
    </row>
    <row r="18" spans="1:19" x14ac:dyDescent="0.25">
      <c r="A18" s="84"/>
      <c r="B18" s="84"/>
      <c r="C18" s="84"/>
      <c r="D18" s="84"/>
      <c r="E18" s="84"/>
      <c r="F18" s="84"/>
      <c r="G18" s="88"/>
      <c r="H18" s="77"/>
      <c r="I18" s="84"/>
      <c r="J18" s="84"/>
      <c r="K18" s="85"/>
      <c r="L18" s="84"/>
      <c r="M18" s="84"/>
      <c r="N18" s="84"/>
      <c r="O18" s="84"/>
      <c r="P18" s="84"/>
      <c r="Q18" s="84"/>
      <c r="R18" s="84"/>
      <c r="S18" s="84"/>
    </row>
    <row r="19" spans="1:19" x14ac:dyDescent="0.25">
      <c r="A19" s="84"/>
      <c r="B19" s="84"/>
      <c r="C19" s="84"/>
      <c r="D19" s="84"/>
      <c r="E19" s="84"/>
      <c r="F19" s="84"/>
      <c r="G19" s="88"/>
      <c r="H19" s="77"/>
      <c r="I19" s="84"/>
      <c r="J19" s="84"/>
      <c r="K19" s="85"/>
      <c r="L19" s="84"/>
      <c r="M19" s="84"/>
      <c r="N19" s="84"/>
      <c r="O19" s="84"/>
      <c r="P19" s="84"/>
      <c r="Q19" s="84"/>
      <c r="R19" s="84"/>
      <c r="S19" s="84"/>
    </row>
    <row r="20" spans="1:19" x14ac:dyDescent="0.25">
      <c r="A20" s="84"/>
      <c r="B20" s="84"/>
      <c r="C20" s="84"/>
      <c r="D20" s="84"/>
      <c r="E20" s="84"/>
      <c r="F20" s="84"/>
      <c r="G20" s="88"/>
      <c r="H20" s="77"/>
      <c r="I20" s="84"/>
      <c r="J20" s="84"/>
      <c r="K20" s="85"/>
      <c r="L20" s="84"/>
      <c r="M20" s="84"/>
      <c r="N20" s="84"/>
      <c r="O20" s="84"/>
      <c r="P20" s="84"/>
      <c r="Q20" s="84"/>
      <c r="R20" s="84"/>
      <c r="S20" s="84"/>
    </row>
    <row r="21" spans="1:19" x14ac:dyDescent="0.25">
      <c r="A21" s="84"/>
      <c r="B21" s="84"/>
      <c r="C21" s="84"/>
      <c r="D21" s="84"/>
      <c r="E21" s="84"/>
      <c r="F21" s="84"/>
      <c r="G21" s="88"/>
      <c r="H21" s="77"/>
      <c r="I21" s="84"/>
      <c r="J21" s="84"/>
      <c r="K21" s="85"/>
      <c r="L21" s="84"/>
      <c r="M21" s="84"/>
      <c r="N21" s="84"/>
      <c r="O21" s="84"/>
      <c r="P21" s="84"/>
      <c r="Q21" s="84"/>
      <c r="R21" s="84"/>
      <c r="S21" s="84"/>
    </row>
    <row r="22" spans="1:19" x14ac:dyDescent="0.25">
      <c r="A22" s="84"/>
      <c r="B22" s="84"/>
      <c r="C22" s="84"/>
      <c r="D22" s="84"/>
      <c r="E22" s="84"/>
      <c r="F22" s="84"/>
      <c r="G22" s="88"/>
      <c r="H22" s="77"/>
      <c r="I22" s="84"/>
      <c r="J22" s="84"/>
      <c r="K22" s="85"/>
      <c r="L22" s="84"/>
      <c r="M22" s="84"/>
      <c r="N22" s="84"/>
      <c r="O22" s="84"/>
      <c r="P22" s="84"/>
      <c r="Q22" s="84"/>
      <c r="R22" s="84"/>
      <c r="S22" s="84"/>
    </row>
    <row r="23" spans="1:19" x14ac:dyDescent="0.25">
      <c r="A23" s="84"/>
      <c r="B23" s="84"/>
      <c r="C23" s="84"/>
      <c r="D23" s="84"/>
      <c r="E23" s="84"/>
      <c r="F23" s="84"/>
      <c r="G23" s="88"/>
      <c r="H23" s="77"/>
      <c r="I23" s="84"/>
      <c r="J23" s="84"/>
      <c r="K23" s="85"/>
      <c r="L23" s="84"/>
      <c r="M23" s="84"/>
      <c r="N23" s="84"/>
      <c r="O23" s="84"/>
      <c r="P23" s="84"/>
      <c r="Q23" s="84"/>
      <c r="R23" s="84"/>
      <c r="S23" s="84"/>
    </row>
    <row r="24" spans="1:19" x14ac:dyDescent="0.25">
      <c r="A24" s="84"/>
      <c r="B24" s="84"/>
      <c r="C24" s="84"/>
      <c r="D24" s="84"/>
      <c r="E24" s="84"/>
      <c r="F24" s="84"/>
      <c r="G24" s="88"/>
      <c r="H24" s="77"/>
      <c r="I24" s="84"/>
      <c r="J24" s="84"/>
      <c r="K24" s="85"/>
      <c r="L24" s="84"/>
      <c r="M24" s="84"/>
      <c r="N24" s="84"/>
      <c r="O24" s="84"/>
      <c r="P24" s="84"/>
      <c r="Q24" s="84"/>
      <c r="R24" s="84"/>
      <c r="S24" s="84"/>
    </row>
    <row r="25" spans="1:19" x14ac:dyDescent="0.25">
      <c r="A25" s="84"/>
      <c r="B25" s="84"/>
      <c r="C25" s="84"/>
      <c r="D25" s="84"/>
      <c r="E25" s="84"/>
      <c r="F25" s="84"/>
      <c r="G25" s="88"/>
      <c r="H25" s="77"/>
      <c r="I25" s="84"/>
      <c r="J25" s="84"/>
      <c r="K25" s="85"/>
      <c r="L25" s="84"/>
      <c r="M25" s="84"/>
      <c r="N25" s="84"/>
      <c r="O25" s="84"/>
      <c r="P25" s="84"/>
      <c r="Q25" s="84"/>
      <c r="R25" s="84"/>
      <c r="S25" s="84"/>
    </row>
    <row r="26" spans="1:19" x14ac:dyDescent="0.25">
      <c r="A26" s="84"/>
      <c r="B26" s="84"/>
      <c r="C26" s="84"/>
      <c r="D26" s="84"/>
      <c r="E26" s="84"/>
      <c r="F26" s="84"/>
      <c r="G26" s="88"/>
      <c r="H26" s="77"/>
      <c r="I26" s="84"/>
      <c r="J26" s="84"/>
      <c r="K26" s="85"/>
      <c r="L26" s="84"/>
      <c r="M26" s="84"/>
      <c r="N26" s="84"/>
      <c r="O26" s="84"/>
      <c r="P26" s="84"/>
      <c r="Q26" s="84"/>
      <c r="R26" s="84"/>
      <c r="S26" s="84"/>
    </row>
    <row r="27" spans="1:19" x14ac:dyDescent="0.25">
      <c r="A27" s="84"/>
      <c r="B27" s="84"/>
      <c r="C27" s="84"/>
      <c r="D27" s="84"/>
      <c r="E27" s="84"/>
      <c r="F27" s="84"/>
      <c r="G27" s="88"/>
      <c r="H27" s="77"/>
      <c r="I27" s="84"/>
      <c r="J27" s="84"/>
      <c r="K27" s="85"/>
      <c r="L27" s="84"/>
      <c r="M27" s="84"/>
      <c r="N27" s="84"/>
      <c r="O27" s="84"/>
      <c r="P27" s="84"/>
      <c r="Q27" s="84"/>
      <c r="R27" s="84"/>
      <c r="S27" s="84"/>
    </row>
    <row r="28" spans="1:19" x14ac:dyDescent="0.25">
      <c r="A28" s="84"/>
      <c r="B28" s="84"/>
      <c r="C28" s="84"/>
      <c r="D28" s="84"/>
      <c r="E28" s="84"/>
      <c r="F28" s="84"/>
      <c r="G28" s="88"/>
      <c r="H28" s="77"/>
      <c r="I28" s="84"/>
      <c r="J28" s="84"/>
      <c r="K28" s="85"/>
      <c r="L28" s="84"/>
      <c r="M28" s="84"/>
      <c r="N28" s="84"/>
      <c r="O28" s="84"/>
      <c r="P28" s="84"/>
      <c r="Q28" s="84"/>
      <c r="R28" s="84"/>
      <c r="S28" s="84"/>
    </row>
    <row r="29" spans="1:19" x14ac:dyDescent="0.25">
      <c r="A29" s="84"/>
      <c r="B29" s="84"/>
      <c r="C29" s="84"/>
      <c r="D29" s="84"/>
      <c r="E29" s="84"/>
      <c r="F29" s="84"/>
      <c r="G29" s="88"/>
      <c r="H29" s="77"/>
      <c r="I29" s="84"/>
      <c r="J29" s="84"/>
      <c r="K29" s="85"/>
      <c r="L29" s="84"/>
      <c r="M29" s="84"/>
      <c r="N29" s="84"/>
      <c r="O29" s="84"/>
      <c r="P29" s="84"/>
      <c r="Q29" s="84"/>
      <c r="R29" s="84"/>
      <c r="S29" s="84"/>
    </row>
    <row r="30" spans="1:19" x14ac:dyDescent="0.25">
      <c r="A30" s="84"/>
      <c r="B30" s="84"/>
      <c r="C30" s="84"/>
      <c r="D30" s="84"/>
      <c r="E30" s="84"/>
      <c r="F30" s="84"/>
      <c r="G30" s="88"/>
      <c r="H30" s="77"/>
      <c r="I30" s="84"/>
      <c r="J30" s="84"/>
      <c r="K30" s="85"/>
      <c r="L30" s="84"/>
      <c r="M30" s="84"/>
      <c r="N30" s="84"/>
      <c r="O30" s="84"/>
      <c r="P30" s="84"/>
      <c r="Q30" s="84"/>
      <c r="R30" s="84"/>
      <c r="S30" s="84"/>
    </row>
    <row r="31" spans="1:19" x14ac:dyDescent="0.25">
      <c r="A31" s="84"/>
      <c r="B31" s="84"/>
      <c r="C31" s="84"/>
      <c r="D31" s="84"/>
      <c r="E31" s="84"/>
      <c r="F31" s="84"/>
      <c r="G31" s="88"/>
      <c r="H31" s="77"/>
      <c r="I31" s="84"/>
      <c r="J31" s="84"/>
      <c r="K31" s="85"/>
      <c r="L31" s="84"/>
      <c r="M31" s="84"/>
      <c r="N31" s="84"/>
      <c r="O31" s="84"/>
      <c r="P31" s="84"/>
      <c r="Q31" s="84"/>
      <c r="R31" s="84"/>
      <c r="S31" s="84"/>
    </row>
    <row r="32" spans="1:19" x14ac:dyDescent="0.25">
      <c r="A32" s="84"/>
      <c r="B32" s="84"/>
      <c r="C32" s="84"/>
      <c r="D32" s="84"/>
      <c r="E32" s="84"/>
      <c r="F32" s="84"/>
      <c r="G32" s="88"/>
      <c r="H32" s="77"/>
      <c r="I32" s="84"/>
      <c r="J32" s="84"/>
      <c r="K32" s="85"/>
      <c r="L32" s="84"/>
      <c r="M32" s="84"/>
      <c r="N32" s="84"/>
      <c r="O32" s="84"/>
      <c r="P32" s="84"/>
      <c r="Q32" s="84"/>
      <c r="R32" s="84"/>
      <c r="S32" s="84"/>
    </row>
    <row r="33" spans="1:19" x14ac:dyDescent="0.25">
      <c r="A33" s="84"/>
      <c r="B33" s="84"/>
      <c r="C33" s="84"/>
      <c r="D33" s="84"/>
      <c r="E33" s="84"/>
      <c r="F33" s="84"/>
      <c r="G33" s="88"/>
      <c r="H33" s="77"/>
      <c r="I33" s="84"/>
      <c r="J33" s="84"/>
      <c r="K33" s="85"/>
      <c r="L33" s="84"/>
      <c r="M33" s="84"/>
      <c r="N33" s="84"/>
      <c r="O33" s="84"/>
      <c r="P33" s="84"/>
      <c r="Q33" s="84"/>
      <c r="R33" s="84"/>
      <c r="S33" s="84"/>
    </row>
    <row r="34" spans="1:19" x14ac:dyDescent="0.25">
      <c r="A34" s="84"/>
      <c r="B34" s="84"/>
      <c r="C34" s="84"/>
      <c r="D34" s="84"/>
      <c r="E34" s="84"/>
      <c r="F34" s="84"/>
      <c r="G34" s="88"/>
      <c r="H34" s="77"/>
      <c r="I34" s="84"/>
      <c r="J34" s="84"/>
      <c r="K34" s="85"/>
      <c r="L34" s="84"/>
      <c r="M34" s="84"/>
      <c r="N34" s="84"/>
      <c r="O34" s="84"/>
      <c r="P34" s="84"/>
      <c r="Q34" s="84"/>
      <c r="R34" s="84"/>
      <c r="S34" s="84"/>
    </row>
    <row r="35" spans="1:19" x14ac:dyDescent="0.25">
      <c r="A35" s="84"/>
      <c r="B35" s="84"/>
      <c r="C35" s="84"/>
      <c r="D35" s="84"/>
      <c r="E35" s="84"/>
      <c r="F35" s="84"/>
      <c r="G35" s="88"/>
      <c r="H35" s="77"/>
      <c r="I35" s="84"/>
      <c r="J35" s="84"/>
      <c r="K35" s="85"/>
      <c r="L35" s="84"/>
      <c r="M35" s="84"/>
      <c r="N35" s="84"/>
      <c r="O35" s="84"/>
      <c r="P35" s="84"/>
      <c r="Q35" s="84"/>
      <c r="R35" s="84"/>
      <c r="S35" s="84"/>
    </row>
    <row r="36" spans="1:19" x14ac:dyDescent="0.25">
      <c r="A36" s="84"/>
      <c r="B36" s="84"/>
      <c r="C36" s="84"/>
      <c r="D36" s="84"/>
      <c r="E36" s="84"/>
      <c r="F36" s="84"/>
      <c r="G36" s="88"/>
      <c r="H36" s="77"/>
      <c r="I36" s="84"/>
      <c r="J36" s="84"/>
      <c r="K36" s="85"/>
      <c r="L36" s="84"/>
      <c r="M36" s="84"/>
      <c r="N36" s="84"/>
      <c r="O36" s="84"/>
      <c r="P36" s="84"/>
      <c r="Q36" s="84"/>
      <c r="R36" s="84"/>
      <c r="S36" s="84"/>
    </row>
    <row r="37" spans="1:19" x14ac:dyDescent="0.25">
      <c r="A37" s="84"/>
      <c r="B37" s="84"/>
      <c r="C37" s="84"/>
      <c r="D37" s="84"/>
      <c r="E37" s="84"/>
      <c r="F37" s="84"/>
      <c r="G37" s="88"/>
      <c r="H37" s="77"/>
      <c r="I37" s="84"/>
      <c r="J37" s="84"/>
      <c r="K37" s="85"/>
      <c r="L37" s="84"/>
      <c r="M37" s="84"/>
      <c r="N37" s="84"/>
      <c r="O37" s="84"/>
      <c r="P37" s="84"/>
      <c r="Q37" s="84"/>
      <c r="R37" s="84"/>
      <c r="S37" s="84"/>
    </row>
    <row r="38" spans="1:19" x14ac:dyDescent="0.25">
      <c r="A38" s="84"/>
      <c r="B38" s="84"/>
      <c r="C38" s="84"/>
      <c r="D38" s="84"/>
      <c r="E38" s="84"/>
      <c r="F38" s="84"/>
      <c r="G38" s="88"/>
      <c r="H38" s="77"/>
      <c r="I38" s="84"/>
      <c r="J38" s="84"/>
      <c r="K38" s="85"/>
      <c r="L38" s="84"/>
      <c r="M38" s="84"/>
      <c r="N38" s="84"/>
      <c r="O38" s="84"/>
      <c r="P38" s="84"/>
      <c r="Q38" s="84"/>
      <c r="R38" s="84"/>
      <c r="S38" s="84"/>
    </row>
    <row r="39" spans="1:19" x14ac:dyDescent="0.25">
      <c r="A39" s="84"/>
      <c r="B39" s="84"/>
      <c r="C39" s="84"/>
      <c r="D39" s="84"/>
      <c r="E39" s="84"/>
      <c r="F39" s="84"/>
      <c r="G39" s="88"/>
      <c r="H39" s="77"/>
      <c r="I39" s="84"/>
      <c r="J39" s="84"/>
      <c r="K39" s="85"/>
      <c r="L39" s="84"/>
      <c r="M39" s="84"/>
      <c r="N39" s="84"/>
      <c r="O39" s="84"/>
      <c r="P39" s="84"/>
      <c r="Q39" s="84"/>
      <c r="R39" s="84"/>
      <c r="S39" s="84"/>
    </row>
    <row r="40" spans="1:19" x14ac:dyDescent="0.25">
      <c r="A40" s="84"/>
      <c r="B40" s="84"/>
      <c r="C40" s="84"/>
      <c r="D40" s="84"/>
      <c r="E40" s="84"/>
      <c r="F40" s="84"/>
      <c r="G40" s="88"/>
      <c r="H40" s="77"/>
      <c r="I40" s="84"/>
      <c r="J40" s="84"/>
      <c r="K40" s="85"/>
      <c r="L40" s="84"/>
      <c r="M40" s="84"/>
      <c r="N40" s="84"/>
      <c r="O40" s="84"/>
      <c r="P40" s="84"/>
      <c r="Q40" s="84"/>
      <c r="R40" s="84"/>
      <c r="S40" s="84"/>
    </row>
    <row r="41" spans="1:19" x14ac:dyDescent="0.25">
      <c r="A41" s="84"/>
      <c r="B41" s="84"/>
      <c r="C41" s="84"/>
      <c r="D41" s="84"/>
      <c r="E41" s="84"/>
      <c r="F41" s="84"/>
      <c r="G41" s="88"/>
      <c r="H41" s="77"/>
      <c r="I41" s="84"/>
      <c r="J41" s="84"/>
      <c r="K41" s="85"/>
      <c r="L41" s="84"/>
      <c r="M41" s="84"/>
      <c r="N41" s="84"/>
      <c r="O41" s="84"/>
      <c r="P41" s="84"/>
      <c r="Q41" s="84"/>
      <c r="R41" s="84"/>
      <c r="S41" s="84"/>
    </row>
    <row r="42" spans="1:19" x14ac:dyDescent="0.25">
      <c r="A42" s="84"/>
      <c r="B42" s="84"/>
      <c r="C42" s="84"/>
      <c r="D42" s="84"/>
      <c r="E42" s="84"/>
      <c r="F42" s="84"/>
      <c r="G42" s="88"/>
      <c r="H42" s="77"/>
      <c r="I42" s="84"/>
      <c r="J42" s="84"/>
      <c r="K42" s="85"/>
      <c r="L42" s="84"/>
      <c r="M42" s="84"/>
      <c r="N42" s="84"/>
      <c r="O42" s="84"/>
      <c r="P42" s="84"/>
      <c r="Q42" s="84"/>
      <c r="R42" s="84"/>
      <c r="S42" s="84"/>
    </row>
    <row r="43" spans="1:19" x14ac:dyDescent="0.25">
      <c r="A43" s="84"/>
      <c r="B43" s="84"/>
      <c r="C43" s="84"/>
      <c r="D43" s="84"/>
      <c r="E43" s="84"/>
      <c r="F43" s="84"/>
      <c r="G43" s="88"/>
      <c r="H43" s="77"/>
      <c r="I43" s="84"/>
      <c r="J43" s="84"/>
      <c r="K43" s="85"/>
      <c r="L43" s="84"/>
      <c r="M43" s="84"/>
      <c r="N43" s="84"/>
      <c r="O43" s="84"/>
      <c r="P43" s="84"/>
      <c r="Q43" s="84"/>
      <c r="R43" s="84"/>
      <c r="S43" s="84"/>
    </row>
    <row r="44" spans="1:19" x14ac:dyDescent="0.25">
      <c r="A44" s="84"/>
      <c r="B44" s="84"/>
      <c r="C44" s="84"/>
      <c r="D44" s="84"/>
      <c r="E44" s="84"/>
      <c r="F44" s="84"/>
      <c r="G44" s="88"/>
      <c r="H44" s="77"/>
      <c r="I44" s="84"/>
      <c r="J44" s="84"/>
      <c r="K44" s="85"/>
      <c r="L44" s="84"/>
      <c r="M44" s="84"/>
      <c r="N44" s="84"/>
      <c r="O44" s="84"/>
      <c r="P44" s="84"/>
      <c r="Q44" s="84"/>
      <c r="R44" s="84"/>
      <c r="S44" s="84"/>
    </row>
    <row r="45" spans="1:19" x14ac:dyDescent="0.25">
      <c r="A45" s="84"/>
      <c r="B45" s="84"/>
      <c r="C45" s="84"/>
      <c r="D45" s="84"/>
      <c r="E45" s="84"/>
      <c r="F45" s="84"/>
      <c r="G45" s="88"/>
      <c r="H45" s="77"/>
      <c r="I45" s="84"/>
      <c r="J45" s="84"/>
      <c r="K45" s="85"/>
      <c r="L45" s="84"/>
      <c r="M45" s="84"/>
      <c r="N45" s="84"/>
      <c r="O45" s="84"/>
      <c r="P45" s="84"/>
      <c r="Q45" s="84"/>
      <c r="R45" s="84"/>
      <c r="S45" s="84"/>
    </row>
    <row r="46" spans="1:19" x14ac:dyDescent="0.25">
      <c r="A46" s="84"/>
      <c r="B46" s="84"/>
      <c r="C46" s="84"/>
      <c r="D46" s="84"/>
      <c r="E46" s="84"/>
      <c r="F46" s="84"/>
      <c r="G46" s="88"/>
      <c r="H46" s="77"/>
      <c r="I46" s="84"/>
      <c r="J46" s="84"/>
      <c r="K46" s="85"/>
      <c r="L46" s="84"/>
      <c r="M46" s="84"/>
      <c r="N46" s="84"/>
      <c r="O46" s="84"/>
      <c r="P46" s="84"/>
      <c r="Q46" s="84"/>
      <c r="R46" s="84"/>
      <c r="S46" s="84"/>
    </row>
    <row r="47" spans="1:19" x14ac:dyDescent="0.25">
      <c r="A47" s="84"/>
      <c r="B47" s="84"/>
      <c r="C47" s="84"/>
      <c r="D47" s="84"/>
      <c r="E47" s="84"/>
      <c r="F47" s="84"/>
      <c r="G47" s="88"/>
      <c r="H47" s="77"/>
      <c r="I47" s="84"/>
      <c r="J47" s="84"/>
      <c r="K47" s="85"/>
      <c r="L47" s="84"/>
      <c r="M47" s="84"/>
      <c r="N47" s="84"/>
      <c r="O47" s="84"/>
      <c r="P47" s="84"/>
      <c r="Q47" s="84"/>
      <c r="R47" s="84"/>
      <c r="S47" s="84"/>
    </row>
    <row r="48" spans="1:19" x14ac:dyDescent="0.25">
      <c r="A48" s="84"/>
      <c r="B48" s="84"/>
      <c r="C48" s="84"/>
      <c r="D48" s="84"/>
      <c r="E48" s="84"/>
      <c r="F48" s="84"/>
      <c r="G48" s="88"/>
      <c r="H48" s="77"/>
      <c r="I48" s="84"/>
      <c r="J48" s="84"/>
      <c r="K48" s="85"/>
      <c r="L48" s="84"/>
      <c r="M48" s="84"/>
      <c r="N48" s="84"/>
      <c r="O48" s="84"/>
      <c r="P48" s="84"/>
      <c r="Q48" s="84"/>
      <c r="R48" s="84"/>
      <c r="S48" s="84"/>
    </row>
    <row r="49" spans="1:19" x14ac:dyDescent="0.25">
      <c r="A49" s="84"/>
      <c r="B49" s="84"/>
      <c r="C49" s="84"/>
      <c r="D49" s="84"/>
      <c r="E49" s="84"/>
      <c r="F49" s="84"/>
      <c r="G49" s="88"/>
      <c r="H49" s="77"/>
      <c r="I49" s="84"/>
      <c r="J49" s="84"/>
      <c r="K49" s="85"/>
      <c r="L49" s="84"/>
      <c r="M49" s="84"/>
      <c r="N49" s="84"/>
      <c r="O49" s="84"/>
      <c r="P49" s="84"/>
      <c r="Q49" s="84"/>
      <c r="R49" s="84"/>
      <c r="S49" s="84"/>
    </row>
    <row r="50" spans="1:19" x14ac:dyDescent="0.25">
      <c r="A50" s="84"/>
      <c r="B50" s="84"/>
      <c r="C50" s="84"/>
      <c r="D50" s="84"/>
      <c r="E50" s="84"/>
      <c r="F50" s="84"/>
      <c r="G50" s="88"/>
      <c r="H50" s="77"/>
      <c r="I50" s="84"/>
      <c r="J50" s="84"/>
      <c r="K50" s="85"/>
      <c r="L50" s="84"/>
      <c r="M50" s="84"/>
      <c r="N50" s="84"/>
      <c r="O50" s="84"/>
      <c r="P50" s="84"/>
      <c r="Q50" s="84"/>
      <c r="R50" s="84"/>
      <c r="S50" s="84"/>
    </row>
    <row r="51" spans="1:19" x14ac:dyDescent="0.25">
      <c r="A51" s="84"/>
      <c r="B51" s="84"/>
      <c r="C51" s="84"/>
      <c r="D51" s="84"/>
      <c r="E51" s="84"/>
      <c r="F51" s="84"/>
      <c r="G51" s="88"/>
      <c r="H51" s="77"/>
      <c r="I51" s="84"/>
      <c r="J51" s="84"/>
      <c r="K51" s="85"/>
      <c r="L51" s="84"/>
      <c r="M51" s="84"/>
      <c r="N51" s="84"/>
      <c r="O51" s="84"/>
      <c r="P51" s="84"/>
      <c r="Q51" s="84"/>
      <c r="R51" s="84"/>
      <c r="S51" s="84"/>
    </row>
    <row r="52" spans="1:19" x14ac:dyDescent="0.25">
      <c r="A52" s="84"/>
      <c r="B52" s="84"/>
      <c r="C52" s="84"/>
      <c r="D52" s="84"/>
      <c r="E52" s="84"/>
      <c r="F52" s="84"/>
      <c r="G52" s="88"/>
      <c r="H52" s="77"/>
      <c r="I52" s="84"/>
      <c r="J52" s="84"/>
      <c r="K52" s="85"/>
      <c r="L52" s="84"/>
      <c r="M52" s="84"/>
      <c r="N52" s="84"/>
      <c r="O52" s="84"/>
      <c r="P52" s="84"/>
      <c r="Q52" s="84"/>
      <c r="R52" s="84"/>
      <c r="S52" s="84"/>
    </row>
    <row r="53" spans="1:19" x14ac:dyDescent="0.25">
      <c r="A53" s="84"/>
      <c r="B53" s="84"/>
      <c r="C53" s="84"/>
      <c r="D53" s="84"/>
      <c r="E53" s="84"/>
      <c r="F53" s="84"/>
      <c r="G53" s="88"/>
      <c r="H53" s="77"/>
      <c r="I53" s="84"/>
      <c r="J53" s="84"/>
      <c r="K53" s="85"/>
      <c r="L53" s="84"/>
      <c r="M53" s="84"/>
      <c r="N53" s="84"/>
      <c r="O53" s="84"/>
      <c r="P53" s="84"/>
      <c r="Q53" s="84"/>
      <c r="R53" s="84"/>
      <c r="S53" s="84"/>
    </row>
    <row r="54" spans="1:19" x14ac:dyDescent="0.25">
      <c r="A54" s="84"/>
      <c r="B54" s="84"/>
      <c r="C54" s="84"/>
      <c r="D54" s="84"/>
      <c r="E54" s="84"/>
      <c r="F54" s="84"/>
      <c r="G54" s="88"/>
      <c r="H54" s="77"/>
      <c r="I54" s="84"/>
      <c r="J54" s="84"/>
      <c r="K54" s="85"/>
      <c r="L54" s="84"/>
      <c r="M54" s="84"/>
      <c r="N54" s="84"/>
      <c r="O54" s="84"/>
      <c r="P54" s="84"/>
      <c r="Q54" s="84"/>
      <c r="R54" s="84"/>
      <c r="S54" s="84"/>
    </row>
    <row r="55" spans="1:19" x14ac:dyDescent="0.25">
      <c r="A55" s="84"/>
      <c r="B55" s="84"/>
      <c r="C55" s="84"/>
      <c r="D55" s="84"/>
      <c r="E55" s="84"/>
      <c r="F55" s="84"/>
      <c r="G55" s="88"/>
      <c r="H55" s="77"/>
      <c r="I55" s="84"/>
      <c r="J55" s="84"/>
      <c r="K55" s="85"/>
      <c r="L55" s="84"/>
      <c r="M55" s="84"/>
      <c r="N55" s="84"/>
      <c r="O55" s="84"/>
      <c r="P55" s="84"/>
      <c r="Q55" s="84"/>
      <c r="R55" s="84"/>
      <c r="S55" s="84"/>
    </row>
    <row r="56" spans="1:19" x14ac:dyDescent="0.25">
      <c r="A56" s="84"/>
      <c r="B56" s="84"/>
      <c r="C56" s="84"/>
      <c r="D56" s="84"/>
      <c r="E56" s="84"/>
      <c r="F56" s="84"/>
      <c r="G56" s="88"/>
      <c r="H56" s="77"/>
      <c r="I56" s="84"/>
      <c r="J56" s="84"/>
      <c r="K56" s="85"/>
      <c r="L56" s="84"/>
      <c r="M56" s="84"/>
      <c r="N56" s="84"/>
      <c r="O56" s="84"/>
      <c r="P56" s="84"/>
      <c r="Q56" s="84"/>
      <c r="R56" s="84"/>
      <c r="S56" s="84"/>
    </row>
    <row r="57" spans="1:19" x14ac:dyDescent="0.25">
      <c r="A57" s="84"/>
      <c r="B57" s="84"/>
      <c r="C57" s="84"/>
      <c r="D57" s="84"/>
      <c r="E57" s="84"/>
      <c r="F57" s="84"/>
      <c r="G57" s="88"/>
      <c r="H57" s="77"/>
      <c r="I57" s="84"/>
      <c r="J57" s="84"/>
      <c r="K57" s="85"/>
      <c r="L57" s="84"/>
      <c r="M57" s="84"/>
      <c r="N57" s="84"/>
      <c r="O57" s="84"/>
      <c r="P57" s="84"/>
      <c r="Q57" s="84"/>
      <c r="R57" s="84"/>
      <c r="S57" s="84"/>
    </row>
    <row r="58" spans="1:19" x14ac:dyDescent="0.25">
      <c r="A58" s="84"/>
      <c r="B58" s="84"/>
      <c r="C58" s="84"/>
      <c r="D58" s="84"/>
      <c r="E58" s="84"/>
      <c r="F58" s="84"/>
      <c r="G58" s="88"/>
      <c r="H58" s="77"/>
      <c r="I58" s="84"/>
      <c r="J58" s="84"/>
      <c r="K58" s="85"/>
      <c r="L58" s="84"/>
      <c r="M58" s="84"/>
      <c r="N58" s="84"/>
      <c r="O58" s="84"/>
      <c r="P58" s="84"/>
      <c r="Q58" s="84"/>
      <c r="R58" s="84"/>
      <c r="S58" s="84"/>
    </row>
    <row r="59" spans="1:19" x14ac:dyDescent="0.25">
      <c r="A59" s="84"/>
      <c r="B59" s="84"/>
      <c r="C59" s="84"/>
      <c r="D59" s="84"/>
      <c r="E59" s="84"/>
      <c r="F59" s="84"/>
      <c r="G59" s="88"/>
      <c r="H59" s="77"/>
      <c r="I59" s="84"/>
      <c r="J59" s="84"/>
      <c r="K59" s="85"/>
      <c r="L59" s="84"/>
      <c r="M59" s="84"/>
      <c r="N59" s="84"/>
      <c r="O59" s="84"/>
      <c r="P59" s="84"/>
      <c r="Q59" s="84"/>
      <c r="R59" s="84"/>
      <c r="S59" s="84"/>
    </row>
    <row r="60" spans="1:19" x14ac:dyDescent="0.25">
      <c r="A60" s="84"/>
      <c r="B60" s="84"/>
      <c r="C60" s="84"/>
      <c r="D60" s="84"/>
      <c r="E60" s="84"/>
      <c r="F60" s="84"/>
      <c r="G60" s="88"/>
      <c r="H60" s="77"/>
      <c r="I60" s="84"/>
      <c r="J60" s="84"/>
      <c r="K60" s="85"/>
      <c r="L60" s="84"/>
      <c r="M60" s="84"/>
      <c r="N60" s="84"/>
      <c r="O60" s="84"/>
      <c r="P60" s="84"/>
      <c r="Q60" s="84"/>
      <c r="R60" s="84"/>
      <c r="S60" s="84"/>
    </row>
    <row r="61" spans="1:19" x14ac:dyDescent="0.25">
      <c r="A61" s="84"/>
      <c r="B61" s="84"/>
      <c r="C61" s="84"/>
      <c r="D61" s="84"/>
      <c r="E61" s="84"/>
      <c r="F61" s="84"/>
      <c r="G61" s="88"/>
      <c r="H61" s="77"/>
      <c r="I61" s="84"/>
      <c r="J61" s="84"/>
      <c r="K61" s="85"/>
      <c r="L61" s="84"/>
      <c r="M61" s="84"/>
      <c r="N61" s="84"/>
      <c r="O61" s="84"/>
      <c r="P61" s="84"/>
      <c r="Q61" s="84"/>
      <c r="R61" s="84"/>
      <c r="S61" s="84"/>
    </row>
    <row r="62" spans="1:19" x14ac:dyDescent="0.25">
      <c r="A62" s="84"/>
      <c r="B62" s="84"/>
      <c r="C62" s="84"/>
      <c r="D62" s="84"/>
      <c r="E62" s="84"/>
      <c r="F62" s="84"/>
      <c r="G62" s="88"/>
      <c r="H62" s="77"/>
      <c r="I62" s="84"/>
      <c r="J62" s="84"/>
      <c r="K62" s="85"/>
      <c r="L62" s="84"/>
      <c r="M62" s="84"/>
      <c r="N62" s="84"/>
      <c r="O62" s="84"/>
      <c r="P62" s="84"/>
      <c r="Q62" s="84"/>
      <c r="R62" s="84"/>
      <c r="S62" s="84"/>
    </row>
    <row r="63" spans="1:19" x14ac:dyDescent="0.25">
      <c r="A63" s="84"/>
      <c r="B63" s="84"/>
      <c r="C63" s="84"/>
      <c r="D63" s="84"/>
      <c r="E63" s="84"/>
      <c r="F63" s="84"/>
      <c r="G63" s="88"/>
      <c r="H63" s="77"/>
      <c r="I63" s="84"/>
      <c r="J63" s="84"/>
      <c r="K63" s="85"/>
      <c r="L63" s="84"/>
      <c r="M63" s="84"/>
      <c r="N63" s="84"/>
      <c r="O63" s="84"/>
      <c r="P63" s="84"/>
      <c r="Q63" s="84"/>
      <c r="R63" s="84"/>
      <c r="S63" s="84"/>
    </row>
    <row r="64" spans="1:19" x14ac:dyDescent="0.25">
      <c r="A64" s="84"/>
      <c r="B64" s="84"/>
      <c r="C64" s="84"/>
      <c r="D64" s="84"/>
      <c r="E64" s="84"/>
      <c r="F64" s="84"/>
      <c r="G64" s="88"/>
      <c r="H64" s="77"/>
      <c r="I64" s="84"/>
      <c r="J64" s="84"/>
      <c r="K64" s="85"/>
      <c r="L64" s="84"/>
      <c r="M64" s="84"/>
      <c r="N64" s="84"/>
      <c r="O64" s="84"/>
      <c r="P64" s="84"/>
      <c r="Q64" s="84"/>
      <c r="R64" s="84"/>
      <c r="S64" s="84"/>
    </row>
    <row r="65" spans="1:19" x14ac:dyDescent="0.25">
      <c r="A65" s="84"/>
      <c r="B65" s="84"/>
      <c r="C65" s="84"/>
      <c r="D65" s="84"/>
      <c r="E65" s="84"/>
      <c r="F65" s="84"/>
      <c r="G65" s="88"/>
      <c r="H65" s="77"/>
      <c r="I65" s="84"/>
      <c r="J65" s="84"/>
      <c r="K65" s="85"/>
      <c r="L65" s="84"/>
      <c r="M65" s="84"/>
      <c r="N65" s="84"/>
      <c r="O65" s="84"/>
      <c r="P65" s="84"/>
      <c r="Q65" s="84"/>
      <c r="R65" s="84"/>
      <c r="S65" s="84"/>
    </row>
    <row r="66" spans="1:19" x14ac:dyDescent="0.25">
      <c r="A66" s="84"/>
      <c r="B66" s="84"/>
      <c r="C66" s="84"/>
      <c r="D66" s="84"/>
      <c r="E66" s="84"/>
      <c r="F66" s="84"/>
      <c r="G66" s="88"/>
      <c r="H66" s="77"/>
      <c r="I66" s="84"/>
      <c r="J66" s="84"/>
      <c r="K66" s="85"/>
      <c r="L66" s="84"/>
      <c r="M66" s="84"/>
      <c r="N66" s="84"/>
      <c r="O66" s="84"/>
      <c r="P66" s="84"/>
      <c r="Q66" s="84"/>
      <c r="R66" s="84"/>
      <c r="S66" s="84"/>
    </row>
    <row r="67" spans="1:19" x14ac:dyDescent="0.25">
      <c r="A67" s="84"/>
      <c r="B67" s="84"/>
      <c r="C67" s="84"/>
      <c r="D67" s="84"/>
      <c r="E67" s="84"/>
      <c r="F67" s="84"/>
      <c r="G67" s="88"/>
      <c r="H67" s="77"/>
      <c r="I67" s="84"/>
      <c r="J67" s="84"/>
      <c r="K67" s="85"/>
      <c r="L67" s="84"/>
      <c r="M67" s="84"/>
      <c r="N67" s="84"/>
      <c r="O67" s="84"/>
      <c r="P67" s="84"/>
      <c r="Q67" s="84"/>
      <c r="R67" s="84"/>
      <c r="S67" s="84"/>
    </row>
    <row r="68" spans="1:19" x14ac:dyDescent="0.25">
      <c r="A68" s="84"/>
      <c r="B68" s="84"/>
      <c r="C68" s="84"/>
      <c r="D68" s="84"/>
      <c r="E68" s="84"/>
      <c r="F68" s="84"/>
      <c r="G68" s="88"/>
      <c r="H68" s="77"/>
      <c r="I68" s="84"/>
      <c r="J68" s="84"/>
      <c r="K68" s="85"/>
      <c r="L68" s="84"/>
      <c r="M68" s="84"/>
      <c r="N68" s="84"/>
      <c r="O68" s="84"/>
      <c r="P68" s="84"/>
      <c r="Q68" s="84"/>
      <c r="R68" s="84"/>
      <c r="S68" s="84"/>
    </row>
    <row r="69" spans="1:19" x14ac:dyDescent="0.25">
      <c r="A69" s="84"/>
      <c r="B69" s="84"/>
      <c r="C69" s="84"/>
      <c r="D69" s="84"/>
      <c r="E69" s="84"/>
      <c r="F69" s="84"/>
      <c r="G69" s="88"/>
      <c r="H69" s="77"/>
      <c r="I69" s="84"/>
      <c r="J69" s="84"/>
      <c r="K69" s="85"/>
      <c r="L69" s="84"/>
      <c r="M69" s="84"/>
      <c r="N69" s="84"/>
      <c r="O69" s="84"/>
      <c r="P69" s="84"/>
      <c r="Q69" s="84"/>
      <c r="R69" s="84"/>
      <c r="S69" s="84"/>
    </row>
    <row r="70" spans="1:19" x14ac:dyDescent="0.25">
      <c r="A70" s="84"/>
      <c r="B70" s="84"/>
      <c r="C70" s="84"/>
      <c r="D70" s="84"/>
      <c r="E70" s="84"/>
      <c r="F70" s="84"/>
      <c r="G70" s="88"/>
      <c r="H70" s="77"/>
      <c r="I70" s="84"/>
      <c r="J70" s="84"/>
      <c r="K70" s="85"/>
      <c r="L70" s="84"/>
      <c r="M70" s="84"/>
      <c r="N70" s="84"/>
      <c r="O70" s="84"/>
      <c r="P70" s="84"/>
      <c r="Q70" s="84"/>
      <c r="R70" s="84"/>
      <c r="S70" s="84"/>
    </row>
    <row r="71" spans="1:19" x14ac:dyDescent="0.25">
      <c r="A71" s="84"/>
      <c r="B71" s="84"/>
      <c r="C71" s="84"/>
      <c r="D71" s="84"/>
      <c r="E71" s="84"/>
      <c r="F71" s="84"/>
      <c r="G71" s="88"/>
      <c r="H71" s="77"/>
      <c r="I71" s="84"/>
      <c r="J71" s="84"/>
      <c r="K71" s="85"/>
      <c r="L71" s="84"/>
      <c r="M71" s="84"/>
      <c r="N71" s="84"/>
      <c r="O71" s="84"/>
      <c r="P71" s="84"/>
      <c r="Q71" s="84"/>
      <c r="R71" s="84"/>
      <c r="S71" s="84"/>
    </row>
    <row r="72" spans="1:19" x14ac:dyDescent="0.25">
      <c r="A72" s="84"/>
      <c r="B72" s="84"/>
      <c r="C72" s="84"/>
      <c r="D72" s="84"/>
      <c r="E72" s="84"/>
      <c r="F72" s="84"/>
      <c r="G72" s="88"/>
      <c r="H72" s="77"/>
      <c r="I72" s="84"/>
      <c r="J72" s="84"/>
      <c r="K72" s="85"/>
      <c r="L72" s="84"/>
      <c r="M72" s="84"/>
      <c r="N72" s="84"/>
      <c r="O72" s="84"/>
      <c r="P72" s="84"/>
      <c r="Q72" s="84"/>
      <c r="R72" s="84"/>
      <c r="S72" s="84"/>
    </row>
    <row r="73" spans="1:19" x14ac:dyDescent="0.25">
      <c r="A73" s="84"/>
      <c r="B73" s="84"/>
      <c r="C73" s="84"/>
      <c r="D73" s="84"/>
      <c r="E73" s="84"/>
      <c r="F73" s="84"/>
      <c r="G73" s="88"/>
      <c r="H73" s="77"/>
      <c r="I73" s="84"/>
      <c r="J73" s="84"/>
      <c r="K73" s="85"/>
      <c r="L73" s="84"/>
      <c r="M73" s="84"/>
      <c r="N73" s="84"/>
      <c r="O73" s="84"/>
      <c r="P73" s="84"/>
      <c r="Q73" s="84"/>
      <c r="R73" s="84"/>
      <c r="S73" s="84"/>
    </row>
    <row r="74" spans="1:19" x14ac:dyDescent="0.25">
      <c r="A74" s="84"/>
      <c r="B74" s="84"/>
      <c r="C74" s="84"/>
      <c r="D74" s="84"/>
      <c r="E74" s="84"/>
      <c r="F74" s="84"/>
      <c r="G74" s="88"/>
      <c r="H74" s="77"/>
      <c r="I74" s="84"/>
      <c r="J74" s="84"/>
      <c r="K74" s="85"/>
      <c r="L74" s="84"/>
      <c r="M74" s="84"/>
      <c r="N74" s="84"/>
      <c r="O74" s="84"/>
      <c r="P74" s="84"/>
      <c r="Q74" s="84"/>
      <c r="R74" s="84"/>
      <c r="S74" s="84"/>
    </row>
    <row r="75" spans="1:19" x14ac:dyDescent="0.25">
      <c r="A75" s="84"/>
      <c r="B75" s="84"/>
      <c r="C75" s="84"/>
      <c r="D75" s="84"/>
      <c r="E75" s="84"/>
      <c r="F75" s="84"/>
      <c r="G75" s="88"/>
      <c r="H75" s="77"/>
      <c r="I75" s="84"/>
      <c r="J75" s="84"/>
      <c r="K75" s="85"/>
      <c r="L75" s="84"/>
      <c r="M75" s="84"/>
      <c r="N75" s="84"/>
      <c r="O75" s="84"/>
      <c r="P75" s="84"/>
      <c r="Q75" s="84"/>
      <c r="R75" s="84"/>
      <c r="S75" s="84"/>
    </row>
    <row r="76" spans="1:19" x14ac:dyDescent="0.25">
      <c r="A76" s="84"/>
      <c r="B76" s="84"/>
      <c r="C76" s="84"/>
      <c r="D76" s="84"/>
      <c r="E76" s="84"/>
      <c r="F76" s="84"/>
      <c r="G76" s="88"/>
      <c r="H76" s="77"/>
      <c r="I76" s="84"/>
      <c r="J76" s="84"/>
      <c r="K76" s="85"/>
      <c r="L76" s="84"/>
      <c r="M76" s="84"/>
      <c r="N76" s="84"/>
      <c r="O76" s="84"/>
      <c r="P76" s="84"/>
      <c r="Q76" s="84"/>
      <c r="R76" s="84"/>
      <c r="S76" s="84"/>
    </row>
    <row r="77" spans="1:19" x14ac:dyDescent="0.25">
      <c r="A77" s="84"/>
      <c r="B77" s="84"/>
      <c r="C77" s="84"/>
      <c r="D77" s="84"/>
      <c r="E77" s="84"/>
      <c r="F77" s="84"/>
      <c r="G77" s="88"/>
      <c r="H77" s="77"/>
      <c r="I77" s="84"/>
      <c r="J77" s="84"/>
      <c r="K77" s="85"/>
      <c r="L77" s="84"/>
      <c r="M77" s="84"/>
      <c r="N77" s="84"/>
      <c r="O77" s="84"/>
      <c r="P77" s="84"/>
      <c r="Q77" s="84"/>
      <c r="R77" s="84"/>
      <c r="S77" s="84"/>
    </row>
    <row r="78" spans="1:19" x14ac:dyDescent="0.25">
      <c r="A78" s="84"/>
      <c r="B78" s="84"/>
      <c r="C78" s="84"/>
      <c r="D78" s="84"/>
      <c r="E78" s="84"/>
      <c r="F78" s="84"/>
      <c r="G78" s="88"/>
      <c r="H78" s="77"/>
      <c r="I78" s="84"/>
      <c r="J78" s="84"/>
      <c r="K78" s="85"/>
      <c r="L78" s="84"/>
      <c r="M78" s="84"/>
      <c r="N78" s="84"/>
      <c r="O78" s="84"/>
      <c r="P78" s="84"/>
      <c r="Q78" s="84"/>
      <c r="R78" s="84"/>
      <c r="S78" s="84"/>
    </row>
    <row r="79" spans="1:19" x14ac:dyDescent="0.25">
      <c r="A79" s="84"/>
      <c r="B79" s="84"/>
      <c r="C79" s="84"/>
      <c r="D79" s="84"/>
      <c r="E79" s="84"/>
      <c r="F79" s="84"/>
      <c r="G79" s="88"/>
      <c r="H79" s="77"/>
      <c r="I79" s="84"/>
      <c r="J79" s="84"/>
      <c r="K79" s="85"/>
      <c r="L79" s="84"/>
      <c r="M79" s="84"/>
      <c r="N79" s="84"/>
      <c r="O79" s="84"/>
      <c r="P79" s="84"/>
      <c r="Q79" s="84"/>
      <c r="R79" s="84"/>
      <c r="S79" s="84"/>
    </row>
    <row r="80" spans="1:19" x14ac:dyDescent="0.25">
      <c r="A80" s="84"/>
      <c r="B80" s="84"/>
      <c r="C80" s="84"/>
      <c r="D80" s="84"/>
      <c r="E80" s="84"/>
      <c r="F80" s="84"/>
      <c r="G80" s="88"/>
      <c r="H80" s="77"/>
      <c r="I80" s="84"/>
      <c r="J80" s="84"/>
      <c r="K80" s="85"/>
      <c r="L80" s="84"/>
      <c r="M80" s="84"/>
      <c r="N80" s="84"/>
      <c r="O80" s="84"/>
      <c r="P80" s="84"/>
      <c r="Q80" s="84"/>
      <c r="R80" s="84"/>
      <c r="S80" s="84"/>
    </row>
    <row r="81" spans="1:19" x14ac:dyDescent="0.25">
      <c r="A81" s="84"/>
      <c r="B81" s="84"/>
      <c r="C81" s="84"/>
      <c r="D81" s="84"/>
      <c r="E81" s="84"/>
      <c r="F81" s="84"/>
      <c r="G81" s="88"/>
      <c r="H81" s="77"/>
      <c r="I81" s="84"/>
      <c r="J81" s="84"/>
      <c r="K81" s="85"/>
      <c r="L81" s="84"/>
      <c r="M81" s="84"/>
      <c r="N81" s="84"/>
      <c r="O81" s="84"/>
      <c r="P81" s="84"/>
      <c r="Q81" s="84"/>
      <c r="R81" s="84"/>
      <c r="S81" s="84"/>
    </row>
    <row r="82" spans="1:19" x14ac:dyDescent="0.25">
      <c r="A82" s="84"/>
      <c r="B82" s="84"/>
      <c r="C82" s="84"/>
      <c r="D82" s="84"/>
      <c r="E82" s="84"/>
      <c r="F82" s="84"/>
      <c r="G82" s="88"/>
      <c r="H82" s="77"/>
      <c r="I82" s="84"/>
      <c r="J82" s="84"/>
      <c r="K82" s="85"/>
      <c r="L82" s="84"/>
      <c r="M82" s="84"/>
      <c r="N82" s="84"/>
      <c r="O82" s="84"/>
      <c r="P82" s="84"/>
      <c r="Q82" s="84"/>
      <c r="R82" s="84"/>
      <c r="S82" s="84"/>
    </row>
    <row r="83" spans="1:19" x14ac:dyDescent="0.25">
      <c r="A83" s="84"/>
      <c r="B83" s="84"/>
      <c r="C83" s="84"/>
      <c r="D83" s="84"/>
      <c r="E83" s="84"/>
      <c r="F83" s="84"/>
      <c r="G83" s="88"/>
      <c r="H83" s="77"/>
      <c r="I83" s="84"/>
      <c r="J83" s="84"/>
      <c r="K83" s="85"/>
      <c r="L83" s="84"/>
      <c r="M83" s="84"/>
      <c r="N83" s="84"/>
      <c r="O83" s="84"/>
      <c r="P83" s="84"/>
      <c r="Q83" s="84"/>
      <c r="R83" s="84"/>
      <c r="S83" s="84"/>
    </row>
    <row r="84" spans="1:19" x14ac:dyDescent="0.25">
      <c r="A84" s="84"/>
      <c r="B84" s="84"/>
      <c r="C84" s="84"/>
      <c r="D84" s="84"/>
      <c r="E84" s="84"/>
      <c r="F84" s="84"/>
      <c r="G84" s="88"/>
      <c r="H84" s="77"/>
      <c r="I84" s="84"/>
      <c r="J84" s="84"/>
      <c r="K84" s="85"/>
      <c r="L84" s="84"/>
      <c r="M84" s="84"/>
      <c r="N84" s="84"/>
      <c r="O84" s="84"/>
      <c r="P84" s="84"/>
      <c r="Q84" s="84"/>
      <c r="R84" s="84"/>
      <c r="S84" s="84"/>
    </row>
    <row r="85" spans="1:19" x14ac:dyDescent="0.25">
      <c r="A85" s="84"/>
      <c r="B85" s="84"/>
      <c r="C85" s="84"/>
      <c r="D85" s="84"/>
      <c r="E85" s="84"/>
      <c r="F85" s="84"/>
      <c r="G85" s="88"/>
      <c r="H85" s="77"/>
      <c r="I85" s="84"/>
      <c r="J85" s="84"/>
      <c r="K85" s="85"/>
      <c r="L85" s="84"/>
      <c r="M85" s="84"/>
      <c r="N85" s="84"/>
      <c r="O85" s="84"/>
      <c r="P85" s="84"/>
      <c r="Q85" s="84"/>
      <c r="R85" s="84"/>
      <c r="S85" s="84"/>
    </row>
    <row r="86" spans="1:19" x14ac:dyDescent="0.25">
      <c r="A86" s="84"/>
      <c r="B86" s="84"/>
      <c r="C86" s="84"/>
      <c r="D86" s="84"/>
      <c r="E86" s="84"/>
      <c r="F86" s="84"/>
      <c r="G86" s="88"/>
      <c r="H86" s="77"/>
      <c r="I86" s="84"/>
      <c r="J86" s="84"/>
      <c r="K86" s="85"/>
      <c r="L86" s="84"/>
      <c r="M86" s="84"/>
      <c r="N86" s="84"/>
      <c r="O86" s="84"/>
      <c r="P86" s="84"/>
      <c r="Q86" s="84"/>
      <c r="R86" s="84"/>
      <c r="S86" s="84"/>
    </row>
    <row r="87" spans="1:19" x14ac:dyDescent="0.25">
      <c r="A87" s="84"/>
      <c r="B87" s="84"/>
      <c r="C87" s="84"/>
      <c r="D87" s="84"/>
      <c r="E87" s="84"/>
      <c r="F87" s="84"/>
      <c r="G87" s="88"/>
      <c r="H87" s="77"/>
      <c r="I87" s="84"/>
      <c r="J87" s="84"/>
      <c r="K87" s="85"/>
      <c r="L87" s="84"/>
      <c r="M87" s="84"/>
      <c r="N87" s="84"/>
      <c r="O87" s="84"/>
      <c r="P87" s="84"/>
      <c r="Q87" s="84"/>
      <c r="R87" s="84"/>
      <c r="S87" s="84"/>
    </row>
    <row r="88" spans="1:19" x14ac:dyDescent="0.25">
      <c r="A88" s="84"/>
      <c r="B88" s="84"/>
      <c r="C88" s="84"/>
      <c r="D88" s="84"/>
      <c r="E88" s="84"/>
      <c r="F88" s="84"/>
      <c r="G88" s="88"/>
      <c r="H88" s="77"/>
      <c r="I88" s="84"/>
      <c r="J88" s="84"/>
      <c r="K88" s="85"/>
      <c r="L88" s="84"/>
      <c r="M88" s="84"/>
      <c r="N88" s="84"/>
      <c r="O88" s="84"/>
      <c r="P88" s="84"/>
      <c r="Q88" s="84"/>
      <c r="R88" s="84"/>
      <c r="S88" s="84"/>
    </row>
    <row r="89" spans="1:19" x14ac:dyDescent="0.25">
      <c r="A89" s="84"/>
      <c r="B89" s="84"/>
      <c r="C89" s="84"/>
      <c r="D89" s="84"/>
      <c r="E89" s="84"/>
      <c r="F89" s="84"/>
      <c r="G89" s="88"/>
      <c r="H89" s="77"/>
      <c r="I89" s="84"/>
      <c r="J89" s="84"/>
      <c r="K89" s="85"/>
      <c r="L89" s="84"/>
      <c r="M89" s="84"/>
      <c r="N89" s="84"/>
      <c r="O89" s="84"/>
      <c r="P89" s="84"/>
      <c r="Q89" s="84"/>
      <c r="R89" s="84"/>
      <c r="S89" s="84"/>
    </row>
    <row r="90" spans="1:19" x14ac:dyDescent="0.25">
      <c r="A90" s="84"/>
      <c r="B90" s="84"/>
      <c r="C90" s="84"/>
      <c r="D90" s="84"/>
      <c r="E90" s="84"/>
      <c r="F90" s="84"/>
      <c r="G90" s="88"/>
      <c r="H90" s="77"/>
      <c r="I90" s="84"/>
      <c r="J90" s="84"/>
      <c r="K90" s="85"/>
      <c r="L90" s="84"/>
      <c r="M90" s="84"/>
      <c r="N90" s="84"/>
      <c r="O90" s="84"/>
      <c r="P90" s="84"/>
      <c r="Q90" s="84"/>
      <c r="R90" s="84"/>
      <c r="S90" s="84"/>
    </row>
    <row r="91" spans="1:19" x14ac:dyDescent="0.25">
      <c r="A91" s="84"/>
      <c r="B91" s="84"/>
      <c r="C91" s="84"/>
      <c r="D91" s="84"/>
      <c r="E91" s="84"/>
      <c r="F91" s="84"/>
      <c r="G91" s="88"/>
      <c r="H91" s="77"/>
      <c r="I91" s="84"/>
      <c r="J91" s="84"/>
      <c r="K91" s="85"/>
      <c r="L91" s="84"/>
      <c r="M91" s="84"/>
      <c r="N91" s="84"/>
      <c r="O91" s="84"/>
      <c r="P91" s="84"/>
      <c r="Q91" s="84"/>
      <c r="R91" s="84"/>
      <c r="S91" s="84"/>
    </row>
    <row r="92" spans="1:19" x14ac:dyDescent="0.25">
      <c r="A92" s="84"/>
      <c r="B92" s="84"/>
      <c r="C92" s="84"/>
      <c r="D92" s="84"/>
      <c r="E92" s="84"/>
      <c r="F92" s="84"/>
      <c r="G92" s="88"/>
      <c r="H92" s="77"/>
      <c r="I92" s="84"/>
      <c r="J92" s="84"/>
      <c r="K92" s="85"/>
      <c r="L92" s="84"/>
      <c r="M92" s="84"/>
      <c r="N92" s="84"/>
      <c r="O92" s="84"/>
      <c r="P92" s="84"/>
      <c r="Q92" s="84"/>
      <c r="R92" s="84"/>
      <c r="S92" s="84"/>
    </row>
    <row r="93" spans="1:19" x14ac:dyDescent="0.25">
      <c r="A93" s="84"/>
      <c r="B93" s="84"/>
      <c r="C93" s="84"/>
      <c r="D93" s="84"/>
      <c r="E93" s="84"/>
      <c r="F93" s="84"/>
      <c r="G93" s="88"/>
      <c r="H93" s="77"/>
      <c r="I93" s="84"/>
      <c r="J93" s="84"/>
      <c r="K93" s="85"/>
      <c r="L93" s="84"/>
      <c r="M93" s="84"/>
      <c r="N93" s="84"/>
      <c r="O93" s="84"/>
      <c r="P93" s="84"/>
      <c r="Q93" s="84"/>
      <c r="R93" s="84"/>
      <c r="S93" s="84"/>
    </row>
    <row r="94" spans="1:19" x14ac:dyDescent="0.25">
      <c r="A94" s="84"/>
      <c r="B94" s="84"/>
      <c r="C94" s="84"/>
      <c r="D94" s="84"/>
      <c r="E94" s="84"/>
      <c r="F94" s="84"/>
      <c r="G94" s="88"/>
      <c r="H94" s="77"/>
      <c r="I94" s="84"/>
      <c r="J94" s="84"/>
      <c r="K94" s="85"/>
      <c r="L94" s="84"/>
      <c r="M94" s="84"/>
      <c r="N94" s="84"/>
      <c r="O94" s="84"/>
      <c r="P94" s="84"/>
      <c r="Q94" s="84"/>
      <c r="R94" s="84"/>
      <c r="S94" s="84"/>
    </row>
    <row r="95" spans="1:19" x14ac:dyDescent="0.25">
      <c r="A95" s="84"/>
      <c r="B95" s="84"/>
      <c r="C95" s="84"/>
      <c r="D95" s="84"/>
      <c r="E95" s="84"/>
      <c r="F95" s="84"/>
      <c r="G95" s="88"/>
      <c r="H95" s="77"/>
      <c r="I95" s="84"/>
      <c r="J95" s="84"/>
      <c r="K95" s="85"/>
      <c r="L95" s="84"/>
      <c r="M95" s="84"/>
      <c r="N95" s="84"/>
      <c r="O95" s="84"/>
      <c r="P95" s="84"/>
      <c r="Q95" s="84"/>
      <c r="R95" s="84"/>
      <c r="S95" s="84"/>
    </row>
    <row r="96" spans="1:19" x14ac:dyDescent="0.25">
      <c r="A96" s="84"/>
      <c r="B96" s="84"/>
      <c r="C96" s="84"/>
      <c r="D96" s="84"/>
      <c r="E96" s="84"/>
      <c r="F96" s="84"/>
      <c r="G96" s="88"/>
      <c r="H96" s="77"/>
      <c r="I96" s="84"/>
      <c r="J96" s="84"/>
      <c r="K96" s="85"/>
      <c r="L96" s="84"/>
      <c r="M96" s="84"/>
      <c r="N96" s="84"/>
      <c r="O96" s="84"/>
      <c r="P96" s="84"/>
      <c r="Q96" s="84"/>
      <c r="R96" s="84"/>
      <c r="S96" s="84"/>
    </row>
    <row r="97" spans="1:19" x14ac:dyDescent="0.25">
      <c r="A97" s="84"/>
      <c r="B97" s="84"/>
      <c r="C97" s="84"/>
      <c r="D97" s="84"/>
      <c r="E97" s="84"/>
      <c r="F97" s="84"/>
      <c r="G97" s="88"/>
      <c r="H97" s="77"/>
      <c r="I97" s="84"/>
      <c r="J97" s="84"/>
      <c r="K97" s="85"/>
      <c r="L97" s="84"/>
      <c r="M97" s="84"/>
      <c r="N97" s="84"/>
      <c r="O97" s="84"/>
      <c r="P97" s="84"/>
      <c r="Q97" s="84"/>
      <c r="R97" s="84"/>
      <c r="S97" s="84"/>
    </row>
    <row r="98" spans="1:19" x14ac:dyDescent="0.25">
      <c r="A98" s="84"/>
      <c r="B98" s="84"/>
      <c r="C98" s="84"/>
      <c r="D98" s="84"/>
      <c r="E98" s="84"/>
      <c r="F98" s="84"/>
      <c r="G98" s="88"/>
      <c r="H98" s="77"/>
      <c r="I98" s="84"/>
      <c r="J98" s="84"/>
      <c r="K98" s="85"/>
      <c r="L98" s="84"/>
      <c r="M98" s="84"/>
      <c r="N98" s="84"/>
      <c r="O98" s="84"/>
      <c r="P98" s="84"/>
      <c r="Q98" s="84"/>
      <c r="R98" s="84"/>
      <c r="S98" s="84"/>
    </row>
    <row r="99" spans="1:19" x14ac:dyDescent="0.25">
      <c r="A99" s="84"/>
      <c r="B99" s="84"/>
      <c r="C99" s="84"/>
      <c r="D99" s="84"/>
      <c r="E99" s="84"/>
      <c r="F99" s="84"/>
      <c r="G99" s="88"/>
      <c r="H99" s="77"/>
      <c r="I99" s="84"/>
      <c r="J99" s="84"/>
      <c r="K99" s="85"/>
      <c r="L99" s="84"/>
      <c r="M99" s="84"/>
      <c r="N99" s="84"/>
      <c r="O99" s="84"/>
      <c r="P99" s="84"/>
      <c r="Q99" s="84"/>
      <c r="R99" s="84"/>
      <c r="S99" s="84"/>
    </row>
    <row r="100" spans="1:19" x14ac:dyDescent="0.25">
      <c r="A100" s="84"/>
      <c r="B100" s="84"/>
      <c r="C100" s="84"/>
      <c r="D100" s="84"/>
      <c r="E100" s="84"/>
      <c r="F100" s="84"/>
      <c r="G100" s="88"/>
      <c r="H100" s="77"/>
      <c r="I100" s="84"/>
      <c r="J100" s="84"/>
      <c r="K100" s="85"/>
      <c r="L100" s="84"/>
      <c r="M100" s="84"/>
      <c r="N100" s="84"/>
      <c r="O100" s="84"/>
      <c r="P100" s="84"/>
      <c r="Q100" s="84"/>
      <c r="R100" s="84"/>
      <c r="S100" s="84"/>
    </row>
    <row r="101" spans="1:19" x14ac:dyDescent="0.25">
      <c r="A101" s="84"/>
      <c r="B101" s="84"/>
      <c r="C101" s="84"/>
      <c r="D101" s="84"/>
      <c r="E101" s="84"/>
      <c r="F101" s="84"/>
      <c r="G101" s="88"/>
      <c r="H101" s="77"/>
      <c r="I101" s="84"/>
      <c r="J101" s="84"/>
      <c r="K101" s="85"/>
      <c r="L101" s="84"/>
      <c r="M101" s="84"/>
      <c r="N101" s="84"/>
      <c r="O101" s="84"/>
      <c r="P101" s="84"/>
      <c r="Q101" s="84"/>
      <c r="R101" s="84"/>
      <c r="S101" s="84"/>
    </row>
  </sheetData>
  <sheetProtection sheet="1" objects="1" scenarios="1"/>
  <hyperlinks>
    <hyperlink ref="P2" r:id="rId1" xr:uid="{D7DDE5CF-4F23-4F51-9645-5CE656E35187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61AF-FB82-445E-9F73-959BC93E019F}">
  <dimension ref="A1:M101"/>
  <sheetViews>
    <sheetView topLeftCell="C1" workbookViewId="0">
      <selection activeCell="M2" sqref="A2:M4"/>
    </sheetView>
  </sheetViews>
  <sheetFormatPr defaultRowHeight="15" x14ac:dyDescent="0.25"/>
  <cols>
    <col min="1" max="1" width="13.140625" style="81" bestFit="1" customWidth="1"/>
    <col min="2" max="2" width="15.85546875" style="81" bestFit="1" customWidth="1"/>
    <col min="3" max="3" width="12.85546875" style="81" bestFit="1" customWidth="1"/>
    <col min="4" max="4" width="10" style="81" bestFit="1" customWidth="1"/>
    <col min="5" max="5" width="14.7109375" style="81" bestFit="1" customWidth="1"/>
    <col min="6" max="6" width="23.42578125" style="81" bestFit="1" customWidth="1"/>
    <col min="7" max="7" width="15.85546875" style="81" bestFit="1" customWidth="1"/>
    <col min="8" max="8" width="16.85546875" style="81" bestFit="1" customWidth="1"/>
    <col min="9" max="9" width="20.140625" style="81" bestFit="1" customWidth="1"/>
    <col min="10" max="10" width="27.7109375" style="82" bestFit="1" customWidth="1"/>
    <col min="11" max="11" width="12.42578125" style="81" bestFit="1" customWidth="1"/>
    <col min="12" max="12" width="23.42578125" style="81" bestFit="1" customWidth="1"/>
    <col min="13" max="13" width="10" style="81" bestFit="1" customWidth="1"/>
  </cols>
  <sheetData>
    <row r="1" spans="1:13" x14ac:dyDescent="0.25">
      <c r="A1" s="81" t="s">
        <v>11</v>
      </c>
      <c r="B1" s="81" t="s">
        <v>33</v>
      </c>
      <c r="C1" s="81" t="s">
        <v>12</v>
      </c>
      <c r="D1" s="81" t="s">
        <v>3</v>
      </c>
      <c r="E1" s="81" t="s">
        <v>34</v>
      </c>
      <c r="F1" s="81" t="s">
        <v>35</v>
      </c>
      <c r="G1" s="81" t="s">
        <v>36</v>
      </c>
      <c r="H1" s="81" t="s">
        <v>13</v>
      </c>
      <c r="I1" s="81" t="s">
        <v>37</v>
      </c>
      <c r="J1" s="82" t="s">
        <v>38</v>
      </c>
      <c r="K1" s="81" t="s">
        <v>28</v>
      </c>
      <c r="L1" s="81" t="s">
        <v>29</v>
      </c>
      <c r="M1" s="81" t="s">
        <v>19</v>
      </c>
    </row>
    <row r="2" spans="1:13" x14ac:dyDescent="0.25">
      <c r="A2" s="84" t="s">
        <v>87</v>
      </c>
      <c r="B2" s="84">
        <v>1</v>
      </c>
      <c r="C2" s="84" t="s">
        <v>76</v>
      </c>
      <c r="D2" s="84" t="s">
        <v>9</v>
      </c>
      <c r="E2" s="84" t="s">
        <v>77</v>
      </c>
      <c r="F2" s="84" t="s">
        <v>78</v>
      </c>
      <c r="G2" s="84" t="s">
        <v>79</v>
      </c>
      <c r="H2" s="84" t="s">
        <v>10</v>
      </c>
      <c r="I2" s="84" t="s">
        <v>80</v>
      </c>
      <c r="J2" s="85">
        <v>43689</v>
      </c>
      <c r="K2" s="84">
        <v>7041979491</v>
      </c>
      <c r="L2" s="86" t="s">
        <v>66</v>
      </c>
      <c r="M2" s="84" t="s">
        <v>81</v>
      </c>
    </row>
    <row r="3" spans="1:13" x14ac:dyDescent="0.25">
      <c r="A3" s="84" t="s">
        <v>193</v>
      </c>
      <c r="B3" s="84">
        <v>2</v>
      </c>
      <c r="C3" s="84" t="s">
        <v>202</v>
      </c>
      <c r="D3" s="84" t="s">
        <v>203</v>
      </c>
      <c r="E3" s="84" t="s">
        <v>204</v>
      </c>
      <c r="F3" s="84" t="s">
        <v>205</v>
      </c>
      <c r="G3" s="84" t="s">
        <v>68</v>
      </c>
      <c r="H3" s="84" t="s">
        <v>104</v>
      </c>
      <c r="I3" s="84" t="s">
        <v>206</v>
      </c>
      <c r="J3" s="85">
        <v>22262</v>
      </c>
      <c r="K3" s="84">
        <v>7041979491</v>
      </c>
      <c r="L3" s="86" t="s">
        <v>66</v>
      </c>
      <c r="M3" s="84" t="s">
        <v>207</v>
      </c>
    </row>
    <row r="4" spans="1:13" x14ac:dyDescent="0.25">
      <c r="A4" s="84"/>
      <c r="B4" s="84"/>
      <c r="C4" s="84"/>
      <c r="D4" s="84"/>
      <c r="E4" s="84"/>
      <c r="F4" s="84"/>
      <c r="G4" s="84"/>
      <c r="H4" s="84"/>
      <c r="I4" s="84"/>
      <c r="J4" s="85"/>
      <c r="K4" s="84"/>
      <c r="L4" s="84"/>
      <c r="M4" s="84"/>
    </row>
    <row r="5" spans="1:13" x14ac:dyDescent="0.25">
      <c r="A5" s="84"/>
      <c r="B5" s="84"/>
      <c r="C5" s="84"/>
      <c r="D5" s="84"/>
      <c r="E5" s="84"/>
      <c r="F5" s="84"/>
      <c r="G5" s="84"/>
      <c r="H5" s="84"/>
      <c r="I5" s="84"/>
      <c r="J5" s="85"/>
      <c r="K5" s="84"/>
      <c r="L5" s="84"/>
      <c r="M5" s="84"/>
    </row>
    <row r="6" spans="1:13" x14ac:dyDescent="0.25">
      <c r="A6" s="84"/>
      <c r="B6" s="84"/>
      <c r="C6" s="84"/>
      <c r="D6" s="84"/>
      <c r="E6" s="84"/>
      <c r="F6" s="84"/>
      <c r="G6" s="84"/>
      <c r="H6" s="84"/>
      <c r="I6" s="84"/>
      <c r="J6" s="85"/>
      <c r="K6" s="84"/>
      <c r="L6" s="84"/>
      <c r="M6" s="84"/>
    </row>
    <row r="7" spans="1:13" x14ac:dyDescent="0.25">
      <c r="A7" s="84"/>
      <c r="B7" s="84"/>
      <c r="C7" s="84"/>
      <c r="D7" s="84"/>
      <c r="E7" s="84"/>
      <c r="F7" s="84"/>
      <c r="G7" s="84"/>
      <c r="H7" s="84"/>
      <c r="I7" s="84"/>
      <c r="J7" s="85"/>
      <c r="K7" s="84"/>
      <c r="L7" s="84"/>
      <c r="M7" s="84"/>
    </row>
    <row r="8" spans="1:13" x14ac:dyDescent="0.25">
      <c r="A8" s="84"/>
      <c r="B8" s="84"/>
      <c r="C8" s="84"/>
      <c r="D8" s="84"/>
      <c r="E8" s="84"/>
      <c r="F8" s="84"/>
      <c r="G8" s="84"/>
      <c r="H8" s="84"/>
      <c r="I8" s="84"/>
      <c r="J8" s="85"/>
      <c r="K8" s="84"/>
      <c r="L8" s="84"/>
      <c r="M8" s="84"/>
    </row>
    <row r="9" spans="1:13" x14ac:dyDescent="0.25">
      <c r="A9" s="84"/>
      <c r="B9" s="84"/>
      <c r="C9" s="84"/>
      <c r="D9" s="84"/>
      <c r="E9" s="84"/>
      <c r="F9" s="84"/>
      <c r="G9" s="84"/>
      <c r="H9" s="84"/>
      <c r="I9" s="84"/>
      <c r="J9" s="85"/>
      <c r="K9" s="84"/>
      <c r="L9" s="84"/>
      <c r="M9" s="84"/>
    </row>
    <row r="10" spans="1:13" x14ac:dyDescent="0.25">
      <c r="A10" s="84"/>
      <c r="B10" s="84"/>
      <c r="C10" s="84"/>
      <c r="D10" s="84"/>
      <c r="E10" s="84"/>
      <c r="F10" s="84"/>
      <c r="G10" s="84"/>
      <c r="H10" s="84"/>
      <c r="I10" s="84"/>
      <c r="J10" s="85"/>
      <c r="K10" s="84"/>
      <c r="L10" s="84"/>
      <c r="M10" s="84"/>
    </row>
    <row r="11" spans="1:13" x14ac:dyDescent="0.25">
      <c r="A11" s="84"/>
      <c r="B11" s="84"/>
      <c r="C11" s="84"/>
      <c r="D11" s="84"/>
      <c r="E11" s="84"/>
      <c r="F11" s="84"/>
      <c r="G11" s="84"/>
      <c r="H11" s="84"/>
      <c r="I11" s="84"/>
      <c r="J11" s="85"/>
      <c r="K11" s="84"/>
      <c r="L11" s="84"/>
      <c r="M11" s="84"/>
    </row>
    <row r="12" spans="1:13" x14ac:dyDescent="0.25">
      <c r="A12" s="84"/>
      <c r="B12" s="84"/>
      <c r="C12" s="84"/>
      <c r="D12" s="84"/>
      <c r="E12" s="84"/>
      <c r="F12" s="84"/>
      <c r="G12" s="84"/>
      <c r="H12" s="84"/>
      <c r="I12" s="84"/>
      <c r="J12" s="85"/>
      <c r="K12" s="84"/>
      <c r="L12" s="84"/>
      <c r="M12" s="84"/>
    </row>
    <row r="13" spans="1:13" x14ac:dyDescent="0.25">
      <c r="A13" s="84"/>
      <c r="B13" s="84"/>
      <c r="C13" s="84"/>
      <c r="D13" s="84"/>
      <c r="E13" s="84"/>
      <c r="F13" s="84"/>
      <c r="G13" s="84"/>
      <c r="H13" s="84"/>
      <c r="I13" s="84"/>
      <c r="J13" s="85"/>
      <c r="K13" s="84"/>
      <c r="L13" s="84"/>
      <c r="M13" s="84"/>
    </row>
    <row r="14" spans="1:13" x14ac:dyDescent="0.25">
      <c r="A14" s="84"/>
      <c r="B14" s="84"/>
      <c r="C14" s="84"/>
      <c r="D14" s="84"/>
      <c r="E14" s="84"/>
      <c r="F14" s="84"/>
      <c r="G14" s="84"/>
      <c r="H14" s="84"/>
      <c r="I14" s="84"/>
      <c r="J14" s="85"/>
      <c r="K14" s="84"/>
      <c r="L14" s="84"/>
      <c r="M14" s="84"/>
    </row>
    <row r="15" spans="1:13" x14ac:dyDescent="0.25">
      <c r="A15" s="84"/>
      <c r="B15" s="84"/>
      <c r="C15" s="84"/>
      <c r="D15" s="84"/>
      <c r="E15" s="84"/>
      <c r="F15" s="84"/>
      <c r="G15" s="84"/>
      <c r="H15" s="84"/>
      <c r="I15" s="84"/>
      <c r="J15" s="85"/>
      <c r="K15" s="84"/>
      <c r="L15" s="84"/>
      <c r="M15" s="84"/>
    </row>
    <row r="16" spans="1:13" x14ac:dyDescent="0.25">
      <c r="A16" s="84"/>
      <c r="B16" s="84"/>
      <c r="C16" s="84"/>
      <c r="D16" s="84"/>
      <c r="E16" s="84"/>
      <c r="F16" s="84"/>
      <c r="G16" s="84"/>
      <c r="H16" s="84"/>
      <c r="I16" s="84"/>
      <c r="J16" s="85"/>
      <c r="K16" s="84"/>
      <c r="L16" s="84"/>
      <c r="M16" s="84"/>
    </row>
    <row r="17" spans="1:13" x14ac:dyDescent="0.25">
      <c r="A17" s="84"/>
      <c r="B17" s="84"/>
      <c r="C17" s="84"/>
      <c r="D17" s="84"/>
      <c r="E17" s="84"/>
      <c r="F17" s="84"/>
      <c r="G17" s="84"/>
      <c r="H17" s="84"/>
      <c r="I17" s="84"/>
      <c r="J17" s="85"/>
      <c r="K17" s="84"/>
      <c r="L17" s="84"/>
      <c r="M17" s="84"/>
    </row>
    <row r="18" spans="1:13" x14ac:dyDescent="0.25">
      <c r="A18" s="84"/>
      <c r="B18" s="84"/>
      <c r="C18" s="84"/>
      <c r="D18" s="84"/>
      <c r="E18" s="84"/>
      <c r="F18" s="84"/>
      <c r="G18" s="84"/>
      <c r="H18" s="84"/>
      <c r="I18" s="84"/>
      <c r="J18" s="85"/>
      <c r="K18" s="84"/>
      <c r="L18" s="84"/>
      <c r="M18" s="84"/>
    </row>
    <row r="19" spans="1:13" x14ac:dyDescent="0.25">
      <c r="A19" s="84"/>
      <c r="B19" s="84"/>
      <c r="C19" s="84"/>
      <c r="D19" s="84"/>
      <c r="E19" s="84"/>
      <c r="F19" s="84"/>
      <c r="G19" s="84"/>
      <c r="H19" s="84"/>
      <c r="I19" s="84"/>
      <c r="J19" s="85"/>
      <c r="K19" s="84"/>
      <c r="L19" s="84"/>
      <c r="M19" s="84"/>
    </row>
    <row r="20" spans="1:13" x14ac:dyDescent="0.25">
      <c r="A20" s="84"/>
      <c r="B20" s="84"/>
      <c r="C20" s="84"/>
      <c r="D20" s="84"/>
      <c r="E20" s="84"/>
      <c r="F20" s="84"/>
      <c r="G20" s="84"/>
      <c r="H20" s="84"/>
      <c r="I20" s="84"/>
      <c r="J20" s="85"/>
      <c r="K20" s="84"/>
      <c r="L20" s="84"/>
      <c r="M20" s="84"/>
    </row>
    <row r="21" spans="1:13" x14ac:dyDescent="0.25">
      <c r="A21" s="84"/>
      <c r="B21" s="84"/>
      <c r="C21" s="84"/>
      <c r="D21" s="84"/>
      <c r="E21" s="84"/>
      <c r="F21" s="84"/>
      <c r="G21" s="84"/>
      <c r="H21" s="84"/>
      <c r="I21" s="84"/>
      <c r="J21" s="85"/>
      <c r="K21" s="84"/>
      <c r="L21" s="84"/>
      <c r="M21" s="84"/>
    </row>
    <row r="22" spans="1:13" x14ac:dyDescent="0.25">
      <c r="A22" s="84"/>
      <c r="B22" s="84"/>
      <c r="C22" s="84"/>
      <c r="D22" s="84"/>
      <c r="E22" s="84"/>
      <c r="F22" s="84"/>
      <c r="G22" s="84"/>
      <c r="H22" s="84"/>
      <c r="I22" s="84"/>
      <c r="J22" s="85"/>
      <c r="K22" s="84"/>
      <c r="L22" s="84"/>
      <c r="M22" s="84"/>
    </row>
    <row r="23" spans="1:13" x14ac:dyDescent="0.25">
      <c r="A23" s="84"/>
      <c r="B23" s="84"/>
      <c r="C23" s="84"/>
      <c r="D23" s="84"/>
      <c r="E23" s="84"/>
      <c r="F23" s="84"/>
      <c r="G23" s="84"/>
      <c r="H23" s="84"/>
      <c r="I23" s="84"/>
      <c r="J23" s="85"/>
      <c r="K23" s="84"/>
      <c r="L23" s="84"/>
      <c r="M23" s="84"/>
    </row>
    <row r="24" spans="1:13" x14ac:dyDescent="0.25">
      <c r="A24" s="84"/>
      <c r="B24" s="84"/>
      <c r="C24" s="84"/>
      <c r="D24" s="84"/>
      <c r="E24" s="84"/>
      <c r="F24" s="84"/>
      <c r="G24" s="84"/>
      <c r="H24" s="84"/>
      <c r="I24" s="84"/>
      <c r="J24" s="85"/>
      <c r="K24" s="84"/>
      <c r="L24" s="84"/>
      <c r="M24" s="84"/>
    </row>
    <row r="25" spans="1:13" x14ac:dyDescent="0.25">
      <c r="A25" s="84"/>
      <c r="B25" s="84"/>
      <c r="C25" s="84"/>
      <c r="D25" s="84"/>
      <c r="E25" s="84"/>
      <c r="F25" s="84"/>
      <c r="G25" s="84"/>
      <c r="H25" s="84"/>
      <c r="I25" s="84"/>
      <c r="J25" s="85"/>
      <c r="K25" s="84"/>
      <c r="L25" s="84"/>
      <c r="M25" s="84"/>
    </row>
    <row r="26" spans="1:13" x14ac:dyDescent="0.25">
      <c r="A26" s="84"/>
      <c r="B26" s="84"/>
      <c r="C26" s="84"/>
      <c r="D26" s="84"/>
      <c r="E26" s="84"/>
      <c r="F26" s="84"/>
      <c r="G26" s="84"/>
      <c r="H26" s="84"/>
      <c r="I26" s="84"/>
      <c r="J26" s="85"/>
      <c r="K26" s="84"/>
      <c r="L26" s="84"/>
      <c r="M26" s="84"/>
    </row>
    <row r="27" spans="1:13" x14ac:dyDescent="0.25">
      <c r="A27" s="84"/>
      <c r="B27" s="84"/>
      <c r="C27" s="84"/>
      <c r="D27" s="84"/>
      <c r="E27" s="84"/>
      <c r="F27" s="84"/>
      <c r="G27" s="84"/>
      <c r="H27" s="84"/>
      <c r="I27" s="84"/>
      <c r="J27" s="85"/>
      <c r="K27" s="84"/>
      <c r="L27" s="84"/>
      <c r="M27" s="84"/>
    </row>
    <row r="28" spans="1:13" x14ac:dyDescent="0.25">
      <c r="A28" s="84"/>
      <c r="B28" s="84"/>
      <c r="C28" s="84"/>
      <c r="D28" s="84"/>
      <c r="E28" s="84"/>
      <c r="F28" s="84"/>
      <c r="G28" s="84"/>
      <c r="H28" s="84"/>
      <c r="I28" s="84"/>
      <c r="J28" s="85"/>
      <c r="K28" s="84"/>
      <c r="L28" s="84"/>
      <c r="M28" s="84"/>
    </row>
    <row r="29" spans="1:13" x14ac:dyDescent="0.25">
      <c r="A29" s="84"/>
      <c r="B29" s="84"/>
      <c r="C29" s="84"/>
      <c r="D29" s="84"/>
      <c r="E29" s="84"/>
      <c r="F29" s="84"/>
      <c r="G29" s="84"/>
      <c r="H29" s="84"/>
      <c r="I29" s="84"/>
      <c r="J29" s="85"/>
      <c r="K29" s="84"/>
      <c r="L29" s="84"/>
      <c r="M29" s="84"/>
    </row>
    <row r="30" spans="1:13" x14ac:dyDescent="0.25">
      <c r="A30" s="84"/>
      <c r="B30" s="84"/>
      <c r="C30" s="84"/>
      <c r="D30" s="84"/>
      <c r="E30" s="84"/>
      <c r="F30" s="84"/>
      <c r="G30" s="84"/>
      <c r="H30" s="84"/>
      <c r="I30" s="84"/>
      <c r="J30" s="85"/>
      <c r="K30" s="84"/>
      <c r="L30" s="84"/>
      <c r="M30" s="84"/>
    </row>
    <row r="31" spans="1:13" x14ac:dyDescent="0.25">
      <c r="A31" s="84"/>
      <c r="B31" s="84"/>
      <c r="C31" s="84"/>
      <c r="D31" s="84"/>
      <c r="E31" s="84"/>
      <c r="F31" s="84"/>
      <c r="G31" s="84"/>
      <c r="H31" s="84"/>
      <c r="I31" s="84"/>
      <c r="J31" s="85"/>
      <c r="K31" s="84"/>
      <c r="L31" s="84"/>
      <c r="M31" s="84"/>
    </row>
    <row r="32" spans="1:13" x14ac:dyDescent="0.25">
      <c r="A32" s="84"/>
      <c r="B32" s="84"/>
      <c r="C32" s="84"/>
      <c r="D32" s="84"/>
      <c r="E32" s="84"/>
      <c r="F32" s="84"/>
      <c r="G32" s="84"/>
      <c r="H32" s="84"/>
      <c r="I32" s="84"/>
      <c r="J32" s="85"/>
      <c r="K32" s="84"/>
      <c r="L32" s="84"/>
      <c r="M32" s="84"/>
    </row>
    <row r="33" spans="1:13" x14ac:dyDescent="0.25">
      <c r="A33" s="84"/>
      <c r="B33" s="84"/>
      <c r="C33" s="84"/>
      <c r="D33" s="84"/>
      <c r="E33" s="84"/>
      <c r="F33" s="84"/>
      <c r="G33" s="84"/>
      <c r="H33" s="84"/>
      <c r="I33" s="84"/>
      <c r="J33" s="85"/>
      <c r="K33" s="84"/>
      <c r="L33" s="84"/>
      <c r="M33" s="84"/>
    </row>
    <row r="34" spans="1:13" x14ac:dyDescent="0.25">
      <c r="A34" s="84"/>
      <c r="B34" s="84"/>
      <c r="C34" s="84"/>
      <c r="D34" s="84"/>
      <c r="E34" s="84"/>
      <c r="F34" s="84"/>
      <c r="G34" s="84"/>
      <c r="H34" s="84"/>
      <c r="I34" s="84"/>
      <c r="J34" s="85"/>
      <c r="K34" s="84"/>
      <c r="L34" s="84"/>
      <c r="M34" s="84"/>
    </row>
    <row r="35" spans="1:13" x14ac:dyDescent="0.25">
      <c r="A35" s="84"/>
      <c r="B35" s="84"/>
      <c r="C35" s="84"/>
      <c r="D35" s="84"/>
      <c r="E35" s="84"/>
      <c r="F35" s="84"/>
      <c r="G35" s="84"/>
      <c r="H35" s="84"/>
      <c r="I35" s="84"/>
      <c r="J35" s="85"/>
      <c r="K35" s="84"/>
      <c r="L35" s="84"/>
      <c r="M35" s="84"/>
    </row>
    <row r="36" spans="1:13" x14ac:dyDescent="0.25">
      <c r="A36" s="84"/>
      <c r="B36" s="84"/>
      <c r="C36" s="84"/>
      <c r="D36" s="84"/>
      <c r="E36" s="84"/>
      <c r="F36" s="84"/>
      <c r="G36" s="84"/>
      <c r="H36" s="84"/>
      <c r="I36" s="84"/>
      <c r="J36" s="85"/>
      <c r="K36" s="84"/>
      <c r="L36" s="84"/>
      <c r="M36" s="84"/>
    </row>
    <row r="37" spans="1:13" x14ac:dyDescent="0.25">
      <c r="A37" s="84"/>
      <c r="B37" s="84"/>
      <c r="C37" s="84"/>
      <c r="D37" s="84"/>
      <c r="E37" s="84"/>
      <c r="F37" s="84"/>
      <c r="G37" s="84"/>
      <c r="H37" s="84"/>
      <c r="I37" s="84"/>
      <c r="J37" s="85"/>
      <c r="K37" s="84"/>
      <c r="L37" s="84"/>
      <c r="M37" s="84"/>
    </row>
    <row r="38" spans="1:13" x14ac:dyDescent="0.25">
      <c r="A38" s="84"/>
      <c r="B38" s="84"/>
      <c r="C38" s="84"/>
      <c r="D38" s="84"/>
      <c r="E38" s="84"/>
      <c r="F38" s="84"/>
      <c r="G38" s="84"/>
      <c r="H38" s="84"/>
      <c r="I38" s="84"/>
      <c r="J38" s="85"/>
      <c r="K38" s="84"/>
      <c r="L38" s="84"/>
      <c r="M38" s="84"/>
    </row>
    <row r="39" spans="1:13" x14ac:dyDescent="0.25">
      <c r="A39" s="84"/>
      <c r="B39" s="84"/>
      <c r="C39" s="84"/>
      <c r="D39" s="84"/>
      <c r="E39" s="84"/>
      <c r="F39" s="84"/>
      <c r="G39" s="84"/>
      <c r="H39" s="84"/>
      <c r="I39" s="84"/>
      <c r="J39" s="85"/>
      <c r="K39" s="84"/>
      <c r="L39" s="84"/>
      <c r="M39" s="84"/>
    </row>
    <row r="40" spans="1:13" x14ac:dyDescent="0.25">
      <c r="A40" s="84"/>
      <c r="B40" s="84"/>
      <c r="C40" s="84"/>
      <c r="D40" s="84"/>
      <c r="E40" s="84"/>
      <c r="F40" s="84"/>
      <c r="G40" s="84"/>
      <c r="H40" s="84"/>
      <c r="I40" s="84"/>
      <c r="J40" s="85"/>
      <c r="K40" s="84"/>
      <c r="L40" s="84"/>
      <c r="M40" s="84"/>
    </row>
    <row r="41" spans="1:13" x14ac:dyDescent="0.25">
      <c r="A41" s="84"/>
      <c r="B41" s="84"/>
      <c r="C41" s="84"/>
      <c r="D41" s="84"/>
      <c r="E41" s="84"/>
      <c r="F41" s="84"/>
      <c r="G41" s="84"/>
      <c r="H41" s="84"/>
      <c r="I41" s="84"/>
      <c r="J41" s="85"/>
      <c r="K41" s="84"/>
      <c r="L41" s="84"/>
      <c r="M41" s="84"/>
    </row>
    <row r="42" spans="1:13" x14ac:dyDescent="0.25">
      <c r="A42" s="84"/>
      <c r="B42" s="84"/>
      <c r="C42" s="84"/>
      <c r="D42" s="84"/>
      <c r="E42" s="84"/>
      <c r="F42" s="84"/>
      <c r="G42" s="84"/>
      <c r="H42" s="84"/>
      <c r="I42" s="84"/>
      <c r="J42" s="85"/>
      <c r="K42" s="84"/>
      <c r="L42" s="84"/>
      <c r="M42" s="84"/>
    </row>
    <row r="43" spans="1:13" x14ac:dyDescent="0.25">
      <c r="A43" s="84"/>
      <c r="B43" s="84"/>
      <c r="C43" s="84"/>
      <c r="D43" s="84"/>
      <c r="E43" s="84"/>
      <c r="F43" s="84"/>
      <c r="G43" s="84"/>
      <c r="H43" s="84"/>
      <c r="I43" s="84"/>
      <c r="J43" s="85"/>
      <c r="K43" s="84"/>
      <c r="L43" s="84"/>
      <c r="M43" s="84"/>
    </row>
    <row r="44" spans="1:13" x14ac:dyDescent="0.25">
      <c r="A44" s="84"/>
      <c r="B44" s="84"/>
      <c r="C44" s="84"/>
      <c r="D44" s="84"/>
      <c r="E44" s="84"/>
      <c r="F44" s="84"/>
      <c r="G44" s="84"/>
      <c r="H44" s="84"/>
      <c r="I44" s="84"/>
      <c r="J44" s="85"/>
      <c r="K44" s="84"/>
      <c r="L44" s="84"/>
      <c r="M44" s="84"/>
    </row>
    <row r="45" spans="1:13" x14ac:dyDescent="0.25">
      <c r="A45" s="84"/>
      <c r="B45" s="84"/>
      <c r="C45" s="84"/>
      <c r="D45" s="84"/>
      <c r="E45" s="84"/>
      <c r="F45" s="84"/>
      <c r="G45" s="84"/>
      <c r="H45" s="84"/>
      <c r="I45" s="84"/>
      <c r="J45" s="85"/>
      <c r="K45" s="84"/>
      <c r="L45" s="84"/>
      <c r="M45" s="84"/>
    </row>
    <row r="46" spans="1:13" x14ac:dyDescent="0.25">
      <c r="A46" s="84"/>
      <c r="B46" s="84"/>
      <c r="C46" s="84"/>
      <c r="D46" s="84"/>
      <c r="E46" s="84"/>
      <c r="F46" s="84"/>
      <c r="G46" s="84"/>
      <c r="H46" s="84"/>
      <c r="I46" s="84"/>
      <c r="J46" s="85"/>
      <c r="K46" s="84"/>
      <c r="L46" s="84"/>
      <c r="M46" s="84"/>
    </row>
    <row r="47" spans="1:13" x14ac:dyDescent="0.25">
      <c r="A47" s="84"/>
      <c r="B47" s="84"/>
      <c r="C47" s="84"/>
      <c r="D47" s="84"/>
      <c r="E47" s="84"/>
      <c r="F47" s="84"/>
      <c r="G47" s="84"/>
      <c r="H47" s="84"/>
      <c r="I47" s="84"/>
      <c r="J47" s="85"/>
      <c r="K47" s="84"/>
      <c r="L47" s="84"/>
      <c r="M47" s="84"/>
    </row>
    <row r="48" spans="1:13" x14ac:dyDescent="0.25">
      <c r="A48" s="84"/>
      <c r="B48" s="84"/>
      <c r="C48" s="84"/>
      <c r="D48" s="84"/>
      <c r="E48" s="84"/>
      <c r="F48" s="84"/>
      <c r="G48" s="84"/>
      <c r="H48" s="84"/>
      <c r="I48" s="84"/>
      <c r="J48" s="85"/>
      <c r="K48" s="84"/>
      <c r="L48" s="84"/>
      <c r="M48" s="84"/>
    </row>
    <row r="49" spans="1:13" x14ac:dyDescent="0.25">
      <c r="A49" s="84"/>
      <c r="B49" s="84"/>
      <c r="C49" s="84"/>
      <c r="D49" s="84"/>
      <c r="E49" s="84"/>
      <c r="F49" s="84"/>
      <c r="G49" s="84"/>
      <c r="H49" s="84"/>
      <c r="I49" s="84"/>
      <c r="J49" s="85"/>
      <c r="K49" s="84"/>
      <c r="L49" s="84"/>
      <c r="M49" s="84"/>
    </row>
    <row r="50" spans="1:13" x14ac:dyDescent="0.25">
      <c r="A50" s="84"/>
      <c r="B50" s="84"/>
      <c r="C50" s="84"/>
      <c r="D50" s="84"/>
      <c r="E50" s="84"/>
      <c r="F50" s="84"/>
      <c r="G50" s="84"/>
      <c r="H50" s="84"/>
      <c r="I50" s="84"/>
      <c r="J50" s="85"/>
      <c r="K50" s="84"/>
      <c r="L50" s="84"/>
      <c r="M50" s="84"/>
    </row>
    <row r="51" spans="1:13" x14ac:dyDescent="0.25">
      <c r="A51" s="84"/>
      <c r="B51" s="84"/>
      <c r="C51" s="84"/>
      <c r="D51" s="84"/>
      <c r="E51" s="84"/>
      <c r="F51" s="84"/>
      <c r="G51" s="84"/>
      <c r="H51" s="84"/>
      <c r="I51" s="84"/>
      <c r="J51" s="85"/>
      <c r="K51" s="84"/>
      <c r="L51" s="84"/>
      <c r="M51" s="84"/>
    </row>
    <row r="52" spans="1:13" x14ac:dyDescent="0.25">
      <c r="A52" s="84"/>
      <c r="B52" s="84"/>
      <c r="C52" s="84"/>
      <c r="D52" s="84"/>
      <c r="E52" s="84"/>
      <c r="F52" s="84"/>
      <c r="G52" s="84"/>
      <c r="H52" s="84"/>
      <c r="I52" s="84"/>
      <c r="J52" s="85"/>
      <c r="K52" s="84"/>
      <c r="L52" s="84"/>
      <c r="M52" s="84"/>
    </row>
    <row r="53" spans="1:13" x14ac:dyDescent="0.25">
      <c r="A53" s="84"/>
      <c r="B53" s="84"/>
      <c r="C53" s="84"/>
      <c r="D53" s="84"/>
      <c r="E53" s="84"/>
      <c r="F53" s="84"/>
      <c r="G53" s="84"/>
      <c r="H53" s="84"/>
      <c r="I53" s="84"/>
      <c r="J53" s="85"/>
      <c r="K53" s="84"/>
      <c r="L53" s="84"/>
      <c r="M53" s="84"/>
    </row>
    <row r="54" spans="1:13" x14ac:dyDescent="0.25">
      <c r="A54" s="84"/>
      <c r="B54" s="84"/>
      <c r="C54" s="84"/>
      <c r="D54" s="84"/>
      <c r="E54" s="84"/>
      <c r="F54" s="84"/>
      <c r="G54" s="84"/>
      <c r="H54" s="84"/>
      <c r="I54" s="84"/>
      <c r="J54" s="85"/>
      <c r="K54" s="84"/>
      <c r="L54" s="84"/>
      <c r="M54" s="84"/>
    </row>
    <row r="55" spans="1:13" x14ac:dyDescent="0.25">
      <c r="A55" s="84"/>
      <c r="B55" s="84"/>
      <c r="C55" s="84"/>
      <c r="D55" s="84"/>
      <c r="E55" s="84"/>
      <c r="F55" s="84"/>
      <c r="G55" s="84"/>
      <c r="H55" s="84"/>
      <c r="I55" s="84"/>
      <c r="J55" s="85"/>
      <c r="K55" s="84"/>
      <c r="L55" s="84"/>
      <c r="M55" s="84"/>
    </row>
    <row r="56" spans="1:13" x14ac:dyDescent="0.25">
      <c r="A56" s="84"/>
      <c r="B56" s="84"/>
      <c r="C56" s="84"/>
      <c r="D56" s="84"/>
      <c r="E56" s="84"/>
      <c r="F56" s="84"/>
      <c r="G56" s="84"/>
      <c r="H56" s="84"/>
      <c r="I56" s="84"/>
      <c r="J56" s="85"/>
      <c r="K56" s="84"/>
      <c r="L56" s="84"/>
      <c r="M56" s="84"/>
    </row>
    <row r="57" spans="1:13" x14ac:dyDescent="0.25">
      <c r="A57" s="84"/>
      <c r="B57" s="84"/>
      <c r="C57" s="84"/>
      <c r="D57" s="84"/>
      <c r="E57" s="84"/>
      <c r="F57" s="84"/>
      <c r="G57" s="84"/>
      <c r="H57" s="84"/>
      <c r="I57" s="84"/>
      <c r="J57" s="85"/>
      <c r="K57" s="84"/>
      <c r="L57" s="84"/>
      <c r="M57" s="84"/>
    </row>
    <row r="58" spans="1:13" x14ac:dyDescent="0.25">
      <c r="A58" s="84"/>
      <c r="B58" s="84"/>
      <c r="C58" s="84"/>
      <c r="D58" s="84"/>
      <c r="E58" s="84"/>
      <c r="F58" s="84"/>
      <c r="G58" s="84"/>
      <c r="H58" s="84"/>
      <c r="I58" s="84"/>
      <c r="J58" s="85"/>
      <c r="K58" s="84"/>
      <c r="L58" s="84"/>
      <c r="M58" s="84"/>
    </row>
    <row r="59" spans="1:13" x14ac:dyDescent="0.25">
      <c r="A59" s="84"/>
      <c r="B59" s="84"/>
      <c r="C59" s="84"/>
      <c r="D59" s="84"/>
      <c r="E59" s="84"/>
      <c r="F59" s="84"/>
      <c r="G59" s="84"/>
      <c r="H59" s="84"/>
      <c r="I59" s="84"/>
      <c r="J59" s="85"/>
      <c r="K59" s="84"/>
      <c r="L59" s="84"/>
      <c r="M59" s="84"/>
    </row>
    <row r="60" spans="1:13" x14ac:dyDescent="0.25">
      <c r="A60" s="84"/>
      <c r="B60" s="84"/>
      <c r="C60" s="84"/>
      <c r="D60" s="84"/>
      <c r="E60" s="84"/>
      <c r="F60" s="84"/>
      <c r="G60" s="84"/>
      <c r="H60" s="84"/>
      <c r="I60" s="84"/>
      <c r="J60" s="85"/>
      <c r="K60" s="84"/>
      <c r="L60" s="84"/>
      <c r="M60" s="84"/>
    </row>
    <row r="61" spans="1:13" x14ac:dyDescent="0.25">
      <c r="A61" s="84"/>
      <c r="B61" s="84"/>
      <c r="C61" s="84"/>
      <c r="D61" s="84"/>
      <c r="E61" s="84"/>
      <c r="F61" s="84"/>
      <c r="G61" s="84"/>
      <c r="H61" s="84"/>
      <c r="I61" s="84"/>
      <c r="J61" s="85"/>
      <c r="K61" s="84"/>
      <c r="L61" s="84"/>
      <c r="M61" s="84"/>
    </row>
    <row r="62" spans="1:13" x14ac:dyDescent="0.25">
      <c r="A62" s="84"/>
      <c r="B62" s="84"/>
      <c r="C62" s="84"/>
      <c r="D62" s="84"/>
      <c r="E62" s="84"/>
      <c r="F62" s="84"/>
      <c r="G62" s="84"/>
      <c r="H62" s="84"/>
      <c r="I62" s="84"/>
      <c r="J62" s="85"/>
      <c r="K62" s="84"/>
      <c r="L62" s="84"/>
      <c r="M62" s="84"/>
    </row>
    <row r="63" spans="1:13" x14ac:dyDescent="0.25">
      <c r="A63" s="84"/>
      <c r="B63" s="84"/>
      <c r="C63" s="84"/>
      <c r="D63" s="84"/>
      <c r="E63" s="84"/>
      <c r="F63" s="84"/>
      <c r="G63" s="84"/>
      <c r="H63" s="84"/>
      <c r="I63" s="84"/>
      <c r="J63" s="85"/>
      <c r="K63" s="84"/>
      <c r="L63" s="84"/>
      <c r="M63" s="84"/>
    </row>
    <row r="64" spans="1:13" x14ac:dyDescent="0.25">
      <c r="A64" s="84"/>
      <c r="B64" s="84"/>
      <c r="C64" s="84"/>
      <c r="D64" s="84"/>
      <c r="E64" s="84"/>
      <c r="F64" s="84"/>
      <c r="G64" s="84"/>
      <c r="H64" s="84"/>
      <c r="I64" s="84"/>
      <c r="J64" s="85"/>
      <c r="K64" s="84"/>
      <c r="L64" s="84"/>
      <c r="M64" s="84"/>
    </row>
    <row r="65" spans="1:13" x14ac:dyDescent="0.25">
      <c r="A65" s="84"/>
      <c r="B65" s="84"/>
      <c r="C65" s="84"/>
      <c r="D65" s="84"/>
      <c r="E65" s="84"/>
      <c r="F65" s="84"/>
      <c r="G65" s="84"/>
      <c r="H65" s="84"/>
      <c r="I65" s="84"/>
      <c r="J65" s="85"/>
      <c r="K65" s="84"/>
      <c r="L65" s="84"/>
      <c r="M65" s="84"/>
    </row>
    <row r="66" spans="1:13" x14ac:dyDescent="0.25">
      <c r="A66" s="84"/>
      <c r="B66" s="84"/>
      <c r="C66" s="84"/>
      <c r="D66" s="84"/>
      <c r="E66" s="84"/>
      <c r="F66" s="84"/>
      <c r="G66" s="84"/>
      <c r="H66" s="84"/>
      <c r="I66" s="84"/>
      <c r="J66" s="85"/>
      <c r="K66" s="84"/>
      <c r="L66" s="84"/>
      <c r="M66" s="84"/>
    </row>
    <row r="67" spans="1:13" x14ac:dyDescent="0.25">
      <c r="A67" s="84"/>
      <c r="B67" s="84"/>
      <c r="C67" s="84"/>
      <c r="D67" s="84"/>
      <c r="E67" s="84"/>
      <c r="F67" s="84"/>
      <c r="G67" s="84"/>
      <c r="H67" s="84"/>
      <c r="I67" s="84"/>
      <c r="J67" s="85"/>
      <c r="K67" s="84"/>
      <c r="L67" s="84"/>
      <c r="M67" s="84"/>
    </row>
    <row r="68" spans="1:13" x14ac:dyDescent="0.25">
      <c r="A68" s="84"/>
      <c r="B68" s="84"/>
      <c r="C68" s="84"/>
      <c r="D68" s="84"/>
      <c r="E68" s="84"/>
      <c r="F68" s="84"/>
      <c r="G68" s="84"/>
      <c r="H68" s="84"/>
      <c r="I68" s="84"/>
      <c r="J68" s="85"/>
      <c r="K68" s="84"/>
      <c r="L68" s="84"/>
      <c r="M68" s="84"/>
    </row>
    <row r="69" spans="1:13" x14ac:dyDescent="0.25">
      <c r="A69" s="84"/>
      <c r="B69" s="84"/>
      <c r="C69" s="84"/>
      <c r="D69" s="84"/>
      <c r="E69" s="84"/>
      <c r="F69" s="84"/>
      <c r="G69" s="84"/>
      <c r="H69" s="84"/>
      <c r="I69" s="84"/>
      <c r="J69" s="85"/>
      <c r="K69" s="84"/>
      <c r="L69" s="84"/>
      <c r="M69" s="84"/>
    </row>
    <row r="70" spans="1:13" x14ac:dyDescent="0.25">
      <c r="A70" s="84"/>
      <c r="B70" s="84"/>
      <c r="C70" s="84"/>
      <c r="D70" s="84"/>
      <c r="E70" s="84"/>
      <c r="F70" s="84"/>
      <c r="G70" s="84"/>
      <c r="H70" s="84"/>
      <c r="I70" s="84"/>
      <c r="J70" s="85"/>
      <c r="K70" s="84"/>
      <c r="L70" s="84"/>
      <c r="M70" s="84"/>
    </row>
    <row r="71" spans="1:13" x14ac:dyDescent="0.25">
      <c r="A71" s="84"/>
      <c r="B71" s="84"/>
      <c r="C71" s="84"/>
      <c r="D71" s="84"/>
      <c r="E71" s="84"/>
      <c r="F71" s="84"/>
      <c r="G71" s="84"/>
      <c r="H71" s="84"/>
      <c r="I71" s="84"/>
      <c r="J71" s="85"/>
      <c r="K71" s="84"/>
      <c r="L71" s="84"/>
      <c r="M71" s="84"/>
    </row>
    <row r="72" spans="1:13" x14ac:dyDescent="0.25">
      <c r="A72" s="84"/>
      <c r="B72" s="84"/>
      <c r="C72" s="84"/>
      <c r="D72" s="84"/>
      <c r="E72" s="84"/>
      <c r="F72" s="84"/>
      <c r="G72" s="84"/>
      <c r="H72" s="84"/>
      <c r="I72" s="84"/>
      <c r="J72" s="85"/>
      <c r="K72" s="84"/>
      <c r="L72" s="84"/>
      <c r="M72" s="84"/>
    </row>
    <row r="73" spans="1:13" x14ac:dyDescent="0.25">
      <c r="A73" s="84"/>
      <c r="B73" s="84"/>
      <c r="C73" s="84"/>
      <c r="D73" s="84"/>
      <c r="E73" s="84"/>
      <c r="F73" s="84"/>
      <c r="G73" s="84"/>
      <c r="H73" s="84"/>
      <c r="I73" s="84"/>
      <c r="J73" s="85"/>
      <c r="K73" s="84"/>
      <c r="L73" s="84"/>
      <c r="M73" s="84"/>
    </row>
    <row r="74" spans="1:13" x14ac:dyDescent="0.25">
      <c r="A74" s="84"/>
      <c r="B74" s="84"/>
      <c r="C74" s="84"/>
      <c r="D74" s="84"/>
      <c r="E74" s="84"/>
      <c r="F74" s="84"/>
      <c r="G74" s="84"/>
      <c r="H74" s="84"/>
      <c r="I74" s="84"/>
      <c r="J74" s="85"/>
      <c r="K74" s="84"/>
      <c r="L74" s="84"/>
      <c r="M74" s="84"/>
    </row>
    <row r="75" spans="1:13" x14ac:dyDescent="0.25">
      <c r="A75" s="84"/>
      <c r="B75" s="84"/>
      <c r="C75" s="84"/>
      <c r="D75" s="84"/>
      <c r="E75" s="84"/>
      <c r="F75" s="84"/>
      <c r="G75" s="84"/>
      <c r="H75" s="84"/>
      <c r="I75" s="84"/>
      <c r="J75" s="85"/>
      <c r="K75" s="84"/>
      <c r="L75" s="84"/>
      <c r="M75" s="84"/>
    </row>
    <row r="76" spans="1:13" x14ac:dyDescent="0.25">
      <c r="A76" s="84"/>
      <c r="B76" s="84"/>
      <c r="C76" s="84"/>
      <c r="D76" s="84"/>
      <c r="E76" s="84"/>
      <c r="F76" s="84"/>
      <c r="G76" s="84"/>
      <c r="H76" s="84"/>
      <c r="I76" s="84"/>
      <c r="J76" s="85"/>
      <c r="K76" s="84"/>
      <c r="L76" s="84"/>
      <c r="M76" s="84"/>
    </row>
    <row r="77" spans="1:13" x14ac:dyDescent="0.25">
      <c r="A77" s="84"/>
      <c r="B77" s="84"/>
      <c r="C77" s="84"/>
      <c r="D77" s="84"/>
      <c r="E77" s="84"/>
      <c r="F77" s="84"/>
      <c r="G77" s="84"/>
      <c r="H77" s="84"/>
      <c r="I77" s="84"/>
      <c r="J77" s="85"/>
      <c r="K77" s="84"/>
      <c r="L77" s="84"/>
      <c r="M77" s="84"/>
    </row>
    <row r="78" spans="1:13" x14ac:dyDescent="0.25">
      <c r="A78" s="84"/>
      <c r="B78" s="84"/>
      <c r="C78" s="84"/>
      <c r="D78" s="84"/>
      <c r="E78" s="84"/>
      <c r="F78" s="84"/>
      <c r="G78" s="84"/>
      <c r="H78" s="84"/>
      <c r="I78" s="84"/>
      <c r="J78" s="85"/>
      <c r="K78" s="84"/>
      <c r="L78" s="84"/>
      <c r="M78" s="84"/>
    </row>
    <row r="79" spans="1:13" x14ac:dyDescent="0.25">
      <c r="A79" s="84"/>
      <c r="B79" s="84"/>
      <c r="C79" s="84"/>
      <c r="D79" s="84"/>
      <c r="E79" s="84"/>
      <c r="F79" s="84"/>
      <c r="G79" s="84"/>
      <c r="H79" s="84"/>
      <c r="I79" s="84"/>
      <c r="J79" s="85"/>
      <c r="K79" s="84"/>
      <c r="L79" s="84"/>
      <c r="M79" s="84"/>
    </row>
    <row r="80" spans="1:13" x14ac:dyDescent="0.25">
      <c r="A80" s="84"/>
      <c r="B80" s="84"/>
      <c r="C80" s="84"/>
      <c r="D80" s="84"/>
      <c r="E80" s="84"/>
      <c r="F80" s="84"/>
      <c r="G80" s="84"/>
      <c r="H80" s="84"/>
      <c r="I80" s="84"/>
      <c r="J80" s="85"/>
      <c r="K80" s="84"/>
      <c r="L80" s="84"/>
      <c r="M80" s="84"/>
    </row>
    <row r="81" spans="1:13" x14ac:dyDescent="0.25">
      <c r="A81" s="84"/>
      <c r="B81" s="84"/>
      <c r="C81" s="84"/>
      <c r="D81" s="84"/>
      <c r="E81" s="84"/>
      <c r="F81" s="84"/>
      <c r="G81" s="84"/>
      <c r="H81" s="84"/>
      <c r="I81" s="84"/>
      <c r="J81" s="85"/>
      <c r="K81" s="84"/>
      <c r="L81" s="84"/>
      <c r="M81" s="84"/>
    </row>
    <row r="82" spans="1:13" x14ac:dyDescent="0.25">
      <c r="A82" s="84"/>
      <c r="B82" s="84"/>
      <c r="C82" s="84"/>
      <c r="D82" s="84"/>
      <c r="E82" s="84"/>
      <c r="F82" s="84"/>
      <c r="G82" s="84"/>
      <c r="H82" s="84"/>
      <c r="I82" s="84"/>
      <c r="J82" s="85"/>
      <c r="K82" s="84"/>
      <c r="L82" s="84"/>
      <c r="M82" s="84"/>
    </row>
    <row r="83" spans="1:13" x14ac:dyDescent="0.25">
      <c r="A83" s="84"/>
      <c r="B83" s="84"/>
      <c r="C83" s="84"/>
      <c r="D83" s="84"/>
      <c r="E83" s="84"/>
      <c r="F83" s="84"/>
      <c r="G83" s="84"/>
      <c r="H83" s="84"/>
      <c r="I83" s="84"/>
      <c r="J83" s="85"/>
      <c r="K83" s="84"/>
      <c r="L83" s="84"/>
      <c r="M83" s="84"/>
    </row>
    <row r="84" spans="1:13" x14ac:dyDescent="0.25">
      <c r="A84" s="84"/>
      <c r="B84" s="84"/>
      <c r="C84" s="84"/>
      <c r="D84" s="84"/>
      <c r="E84" s="84"/>
      <c r="F84" s="84"/>
      <c r="G84" s="84"/>
      <c r="H84" s="84"/>
      <c r="I84" s="84"/>
      <c r="J84" s="85"/>
      <c r="K84" s="84"/>
      <c r="L84" s="84"/>
      <c r="M84" s="84"/>
    </row>
    <row r="85" spans="1:13" x14ac:dyDescent="0.25">
      <c r="A85" s="84"/>
      <c r="B85" s="84"/>
      <c r="C85" s="84"/>
      <c r="D85" s="84"/>
      <c r="E85" s="84"/>
      <c r="F85" s="84"/>
      <c r="G85" s="84"/>
      <c r="H85" s="84"/>
      <c r="I85" s="84"/>
      <c r="J85" s="85"/>
      <c r="K85" s="84"/>
      <c r="L85" s="84"/>
      <c r="M85" s="84"/>
    </row>
    <row r="86" spans="1:13" x14ac:dyDescent="0.25">
      <c r="A86" s="84"/>
      <c r="B86" s="84"/>
      <c r="C86" s="84"/>
      <c r="D86" s="84"/>
      <c r="E86" s="84"/>
      <c r="F86" s="84"/>
      <c r="G86" s="84"/>
      <c r="H86" s="84"/>
      <c r="I86" s="84"/>
      <c r="J86" s="85"/>
      <c r="K86" s="84"/>
      <c r="L86" s="84"/>
      <c r="M86" s="84"/>
    </row>
    <row r="87" spans="1:13" x14ac:dyDescent="0.25">
      <c r="A87" s="84"/>
      <c r="B87" s="84"/>
      <c r="C87" s="84"/>
      <c r="D87" s="84"/>
      <c r="E87" s="84"/>
      <c r="F87" s="84"/>
      <c r="G87" s="84"/>
      <c r="H87" s="84"/>
      <c r="I87" s="84"/>
      <c r="J87" s="85"/>
      <c r="K87" s="84"/>
      <c r="L87" s="84"/>
      <c r="M87" s="84"/>
    </row>
    <row r="88" spans="1:13" x14ac:dyDescent="0.25">
      <c r="A88" s="84"/>
      <c r="B88" s="84"/>
      <c r="C88" s="84"/>
      <c r="D88" s="84"/>
      <c r="E88" s="84"/>
      <c r="F88" s="84"/>
      <c r="G88" s="84"/>
      <c r="H88" s="84"/>
      <c r="I88" s="84"/>
      <c r="J88" s="85"/>
      <c r="K88" s="84"/>
      <c r="L88" s="84"/>
      <c r="M88" s="84"/>
    </row>
    <row r="89" spans="1:13" x14ac:dyDescent="0.25">
      <c r="A89" s="84"/>
      <c r="B89" s="84"/>
      <c r="C89" s="84"/>
      <c r="D89" s="84"/>
      <c r="E89" s="84"/>
      <c r="F89" s="84"/>
      <c r="G89" s="84"/>
      <c r="H89" s="84"/>
      <c r="I89" s="84"/>
      <c r="J89" s="85"/>
      <c r="K89" s="84"/>
      <c r="L89" s="84"/>
      <c r="M89" s="84"/>
    </row>
    <row r="90" spans="1:13" x14ac:dyDescent="0.25">
      <c r="A90" s="84"/>
      <c r="B90" s="84"/>
      <c r="C90" s="84"/>
      <c r="D90" s="84"/>
      <c r="E90" s="84"/>
      <c r="F90" s="84"/>
      <c r="G90" s="84"/>
      <c r="H90" s="84"/>
      <c r="I90" s="84"/>
      <c r="J90" s="85"/>
      <c r="K90" s="84"/>
      <c r="L90" s="84"/>
      <c r="M90" s="84"/>
    </row>
    <row r="91" spans="1:13" x14ac:dyDescent="0.25">
      <c r="A91" s="84"/>
      <c r="B91" s="84"/>
      <c r="C91" s="84"/>
      <c r="D91" s="84"/>
      <c r="E91" s="84"/>
      <c r="F91" s="84"/>
      <c r="G91" s="84"/>
      <c r="H91" s="84"/>
      <c r="I91" s="84"/>
      <c r="J91" s="85"/>
      <c r="K91" s="84"/>
      <c r="L91" s="84"/>
      <c r="M91" s="84"/>
    </row>
    <row r="92" spans="1:13" x14ac:dyDescent="0.25">
      <c r="A92" s="84"/>
      <c r="B92" s="84"/>
      <c r="C92" s="84"/>
      <c r="D92" s="84"/>
      <c r="E92" s="84"/>
      <c r="F92" s="84"/>
      <c r="G92" s="84"/>
      <c r="H92" s="84"/>
      <c r="I92" s="84"/>
      <c r="J92" s="85"/>
      <c r="K92" s="84"/>
      <c r="L92" s="84"/>
      <c r="M92" s="84"/>
    </row>
    <row r="93" spans="1:13" x14ac:dyDescent="0.25">
      <c r="A93" s="84"/>
      <c r="B93" s="84"/>
      <c r="C93" s="84"/>
      <c r="D93" s="84"/>
      <c r="E93" s="84"/>
      <c r="F93" s="84"/>
      <c r="G93" s="84"/>
      <c r="H93" s="84"/>
      <c r="I93" s="84"/>
      <c r="J93" s="85"/>
      <c r="K93" s="84"/>
      <c r="L93" s="84"/>
      <c r="M93" s="84"/>
    </row>
    <row r="94" spans="1:13" x14ac:dyDescent="0.25">
      <c r="A94" s="84"/>
      <c r="B94" s="84"/>
      <c r="C94" s="84"/>
      <c r="D94" s="84"/>
      <c r="E94" s="84"/>
      <c r="F94" s="84"/>
      <c r="G94" s="84"/>
      <c r="H94" s="84"/>
      <c r="I94" s="84"/>
      <c r="J94" s="85"/>
      <c r="K94" s="84"/>
      <c r="L94" s="84"/>
      <c r="M94" s="84"/>
    </row>
    <row r="95" spans="1:13" x14ac:dyDescent="0.25">
      <c r="A95" s="84"/>
      <c r="B95" s="84"/>
      <c r="C95" s="84"/>
      <c r="D95" s="84"/>
      <c r="E95" s="84"/>
      <c r="F95" s="84"/>
      <c r="G95" s="84"/>
      <c r="H95" s="84"/>
      <c r="I95" s="84"/>
      <c r="J95" s="85"/>
      <c r="K95" s="84"/>
      <c r="L95" s="84"/>
      <c r="M95" s="84"/>
    </row>
    <row r="96" spans="1:13" x14ac:dyDescent="0.25">
      <c r="A96" s="84"/>
      <c r="B96" s="84"/>
      <c r="C96" s="84"/>
      <c r="D96" s="84"/>
      <c r="E96" s="84"/>
      <c r="F96" s="84"/>
      <c r="G96" s="84"/>
      <c r="H96" s="84"/>
      <c r="I96" s="84"/>
      <c r="J96" s="85"/>
      <c r="K96" s="84"/>
      <c r="L96" s="84"/>
      <c r="M96" s="84"/>
    </row>
    <row r="97" spans="1:13" x14ac:dyDescent="0.25">
      <c r="A97" s="84"/>
      <c r="B97" s="84"/>
      <c r="C97" s="84"/>
      <c r="D97" s="84"/>
      <c r="E97" s="84"/>
      <c r="F97" s="84"/>
      <c r="G97" s="84"/>
      <c r="H97" s="84"/>
      <c r="I97" s="84"/>
      <c r="J97" s="85"/>
      <c r="K97" s="84"/>
      <c r="L97" s="84"/>
      <c r="M97" s="84"/>
    </row>
    <row r="98" spans="1:13" x14ac:dyDescent="0.25">
      <c r="A98" s="84"/>
      <c r="B98" s="84"/>
      <c r="C98" s="84"/>
      <c r="D98" s="84"/>
      <c r="E98" s="84"/>
      <c r="F98" s="84"/>
      <c r="G98" s="84"/>
      <c r="H98" s="84"/>
      <c r="I98" s="84"/>
      <c r="J98" s="85"/>
      <c r="K98" s="84"/>
      <c r="L98" s="84"/>
      <c r="M98" s="84"/>
    </row>
    <row r="99" spans="1:13" x14ac:dyDescent="0.25">
      <c r="A99" s="84"/>
      <c r="B99" s="84"/>
      <c r="C99" s="84"/>
      <c r="D99" s="84"/>
      <c r="E99" s="84"/>
      <c r="F99" s="84"/>
      <c r="G99" s="84"/>
      <c r="H99" s="84"/>
      <c r="I99" s="84"/>
      <c r="J99" s="85"/>
      <c r="K99" s="84"/>
      <c r="L99" s="84"/>
      <c r="M99" s="84"/>
    </row>
    <row r="100" spans="1:13" x14ac:dyDescent="0.25">
      <c r="A100" s="84"/>
      <c r="B100" s="84"/>
      <c r="C100" s="84"/>
      <c r="D100" s="84"/>
      <c r="E100" s="84"/>
      <c r="F100" s="84"/>
      <c r="G100" s="84"/>
      <c r="H100" s="84"/>
      <c r="I100" s="84"/>
      <c r="J100" s="85"/>
      <c r="K100" s="84"/>
      <c r="L100" s="84"/>
      <c r="M100" s="84"/>
    </row>
    <row r="101" spans="1:13" x14ac:dyDescent="0.25">
      <c r="A101" s="84"/>
      <c r="B101" s="84"/>
      <c r="C101" s="84"/>
      <c r="D101" s="84"/>
      <c r="E101" s="84"/>
      <c r="F101" s="84"/>
      <c r="G101" s="84"/>
      <c r="H101" s="84"/>
      <c r="I101" s="84"/>
      <c r="J101" s="85"/>
      <c r="K101" s="84"/>
      <c r="L101" s="84"/>
      <c r="M101" s="84"/>
    </row>
  </sheetData>
  <sheetProtection sheet="1" objects="1" scenarios="1"/>
  <hyperlinks>
    <hyperlink ref="L3" r:id="rId1" xr:uid="{D3E84D8F-8531-486C-91AF-409416267957}"/>
    <hyperlink ref="L2" r:id="rId2" xr:uid="{6890E935-A31F-4EF7-9991-D1AD0F767BCC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FB73-1375-4B28-8ADE-DAA9F2772D3D}">
  <dimension ref="A1:G101"/>
  <sheetViews>
    <sheetView workbookViewId="0">
      <selection activeCell="A2" sqref="A2:F6"/>
    </sheetView>
  </sheetViews>
  <sheetFormatPr defaultRowHeight="15" x14ac:dyDescent="0.25"/>
  <cols>
    <col min="1" max="1" width="12.7109375" style="81" bestFit="1" customWidth="1"/>
    <col min="2" max="2" width="16.28515625" style="81" bestFit="1" customWidth="1"/>
    <col min="3" max="3" width="14" style="81" bestFit="1" customWidth="1"/>
    <col min="4" max="4" width="7.7109375" style="81" bestFit="1" customWidth="1"/>
    <col min="5" max="5" width="18" style="81" bestFit="1" customWidth="1"/>
    <col min="6" max="6" width="13.140625" style="81" bestFit="1" customWidth="1"/>
    <col min="7" max="7" width="16.140625" bestFit="1" customWidth="1"/>
  </cols>
  <sheetData>
    <row r="1" spans="1:7" x14ac:dyDescent="0.25">
      <c r="A1" s="81" t="s">
        <v>14</v>
      </c>
      <c r="B1" s="81" t="s">
        <v>15</v>
      </c>
      <c r="C1" s="81" t="s">
        <v>39</v>
      </c>
      <c r="D1" s="81" t="s">
        <v>5</v>
      </c>
      <c r="E1" s="81" t="s">
        <v>40</v>
      </c>
      <c r="F1" s="81" t="s">
        <v>11</v>
      </c>
      <c r="G1" t="s">
        <v>194</v>
      </c>
    </row>
    <row r="2" spans="1:7" x14ac:dyDescent="0.25">
      <c r="A2" s="84" t="s">
        <v>84</v>
      </c>
      <c r="B2" s="84" t="s">
        <v>85</v>
      </c>
      <c r="C2" s="84" t="s">
        <v>86</v>
      </c>
      <c r="D2" s="84" t="s">
        <v>10</v>
      </c>
      <c r="E2" s="84">
        <v>10</v>
      </c>
      <c r="F2" s="84" t="s">
        <v>87</v>
      </c>
      <c r="G2" s="76" t="str">
        <f>_xlfn.XLOOKUP(Subject[[#This Row],[Teacher_ID]],Teachers!A:A,Teachers!C:C)</f>
        <v>Jolectro</v>
      </c>
    </row>
    <row r="3" spans="1:7" x14ac:dyDescent="0.25">
      <c r="A3" s="84" t="s">
        <v>201</v>
      </c>
      <c r="B3" s="84" t="s">
        <v>92</v>
      </c>
      <c r="C3" s="84" t="s">
        <v>86</v>
      </c>
      <c r="D3" s="84" t="s">
        <v>10</v>
      </c>
      <c r="E3" s="84">
        <v>10</v>
      </c>
      <c r="F3" s="84" t="s">
        <v>193</v>
      </c>
      <c r="G3" s="76" t="str">
        <f>_xlfn.XLOOKUP(Subject[[#This Row],[Teacher_ID]],Teachers!A:A,Teachers!C:C)</f>
        <v>Susana</v>
      </c>
    </row>
    <row r="4" spans="1:7" x14ac:dyDescent="0.25">
      <c r="A4" s="84" t="s">
        <v>230</v>
      </c>
      <c r="B4" s="84" t="s">
        <v>231</v>
      </c>
      <c r="C4" s="84" t="s">
        <v>86</v>
      </c>
      <c r="D4" s="84" t="s">
        <v>10</v>
      </c>
      <c r="E4" s="84">
        <v>7</v>
      </c>
      <c r="F4" s="84" t="s">
        <v>87</v>
      </c>
      <c r="G4" s="76" t="str">
        <f>_xlfn.XLOOKUP(Subject[[#This Row],[Teacher_ID]],Teachers!A:A,Teachers!C:C)</f>
        <v>Jolectro</v>
      </c>
    </row>
    <row r="5" spans="1:7" x14ac:dyDescent="0.25">
      <c r="A5" s="84" t="s">
        <v>237</v>
      </c>
      <c r="B5" s="84" t="s">
        <v>238</v>
      </c>
      <c r="C5" s="84" t="s">
        <v>86</v>
      </c>
      <c r="D5" s="84" t="s">
        <v>10</v>
      </c>
      <c r="E5" s="84">
        <v>5</v>
      </c>
      <c r="F5" s="84" t="s">
        <v>193</v>
      </c>
      <c r="G5" s="76" t="str">
        <f>_xlfn.XLOOKUP(Subject[[#This Row],[Teacher_ID]],Teachers!A:A,Teachers!C:C)</f>
        <v>Susana</v>
      </c>
    </row>
    <row r="6" spans="1:7" x14ac:dyDescent="0.25">
      <c r="A6" s="84" t="s">
        <v>240</v>
      </c>
      <c r="B6" s="84" t="s">
        <v>241</v>
      </c>
      <c r="C6" s="84" t="s">
        <v>242</v>
      </c>
      <c r="D6" s="84" t="s">
        <v>10</v>
      </c>
      <c r="E6" s="84">
        <v>3</v>
      </c>
      <c r="F6" s="84" t="s">
        <v>193</v>
      </c>
      <c r="G6" s="76" t="str">
        <f>_xlfn.XLOOKUP(Subject[[#This Row],[Teacher_ID]],Teachers!A:A,Teachers!C:C)</f>
        <v>Susana</v>
      </c>
    </row>
    <row r="7" spans="1:7" x14ac:dyDescent="0.25">
      <c r="A7" s="84"/>
      <c r="B7" s="84"/>
      <c r="C7" s="84"/>
      <c r="D7" s="84"/>
      <c r="E7" s="84"/>
      <c r="F7" s="84"/>
      <c r="G7" s="76">
        <f>_xlfn.XLOOKUP(Subject[[#This Row],[Teacher_ID]],Teachers!A:A,Teachers!C:C)</f>
        <v>0</v>
      </c>
    </row>
    <row r="8" spans="1:7" x14ac:dyDescent="0.25">
      <c r="A8" s="84"/>
      <c r="B8" s="84"/>
      <c r="C8" s="84"/>
      <c r="D8" s="84"/>
      <c r="E8" s="84"/>
      <c r="F8" s="84"/>
      <c r="G8" s="76">
        <f>_xlfn.XLOOKUP(Subject[[#This Row],[Teacher_ID]],Teachers!A:A,Teachers!C:C)</f>
        <v>0</v>
      </c>
    </row>
    <row r="9" spans="1:7" x14ac:dyDescent="0.25">
      <c r="A9" s="84"/>
      <c r="B9" s="84"/>
      <c r="C9" s="84"/>
      <c r="D9" s="84"/>
      <c r="E9" s="84"/>
      <c r="F9" s="84"/>
      <c r="G9" s="76">
        <f>_xlfn.XLOOKUP(Subject[[#This Row],[Teacher_ID]],Teachers!A:A,Teachers!C:C)</f>
        <v>0</v>
      </c>
    </row>
    <row r="10" spans="1:7" x14ac:dyDescent="0.25">
      <c r="A10" s="84"/>
      <c r="B10" s="84"/>
      <c r="C10" s="84"/>
      <c r="D10" s="84"/>
      <c r="E10" s="84"/>
      <c r="F10" s="84"/>
      <c r="G10" s="76">
        <f>_xlfn.XLOOKUP(Subject[[#This Row],[Teacher_ID]],Teachers!A:A,Teachers!C:C)</f>
        <v>0</v>
      </c>
    </row>
    <row r="11" spans="1:7" x14ac:dyDescent="0.25">
      <c r="A11" s="84"/>
      <c r="B11" s="84"/>
      <c r="C11" s="84"/>
      <c r="D11" s="84"/>
      <c r="E11" s="84"/>
      <c r="F11" s="84"/>
      <c r="G11" s="76">
        <f>_xlfn.XLOOKUP(Subject[[#This Row],[Teacher_ID]],Teachers!A:A,Teachers!C:C)</f>
        <v>0</v>
      </c>
    </row>
    <row r="12" spans="1:7" x14ac:dyDescent="0.25">
      <c r="A12" s="84"/>
      <c r="B12" s="84"/>
      <c r="C12" s="84"/>
      <c r="D12" s="84"/>
      <c r="E12" s="84"/>
      <c r="F12" s="84"/>
      <c r="G12" s="76">
        <f>_xlfn.XLOOKUP(Subject[[#This Row],[Teacher_ID]],Teachers!A:A,Teachers!C:C)</f>
        <v>0</v>
      </c>
    </row>
    <row r="13" spans="1:7" x14ac:dyDescent="0.25">
      <c r="A13" s="84"/>
      <c r="B13" s="84"/>
      <c r="C13" s="84"/>
      <c r="D13" s="84"/>
      <c r="E13" s="84"/>
      <c r="F13" s="84"/>
      <c r="G13" s="76">
        <f>_xlfn.XLOOKUP(Subject[[#This Row],[Teacher_ID]],Teachers!A:A,Teachers!C:C)</f>
        <v>0</v>
      </c>
    </row>
    <row r="14" spans="1:7" x14ac:dyDescent="0.25">
      <c r="A14" s="84"/>
      <c r="B14" s="84"/>
      <c r="C14" s="84"/>
      <c r="D14" s="84"/>
      <c r="E14" s="84"/>
      <c r="F14" s="84"/>
      <c r="G14" s="76">
        <f>_xlfn.XLOOKUP(Subject[[#This Row],[Teacher_ID]],Teachers!A:A,Teachers!C:C)</f>
        <v>0</v>
      </c>
    </row>
    <row r="15" spans="1:7" x14ac:dyDescent="0.25">
      <c r="A15" s="84"/>
      <c r="B15" s="84"/>
      <c r="C15" s="84"/>
      <c r="D15" s="84"/>
      <c r="E15" s="84"/>
      <c r="F15" s="84"/>
      <c r="G15" s="76">
        <f>_xlfn.XLOOKUP(Subject[[#This Row],[Teacher_ID]],Teachers!A:A,Teachers!C:C)</f>
        <v>0</v>
      </c>
    </row>
    <row r="16" spans="1:7" x14ac:dyDescent="0.25">
      <c r="A16" s="84"/>
      <c r="B16" s="84"/>
      <c r="C16" s="84"/>
      <c r="D16" s="84"/>
      <c r="E16" s="84"/>
      <c r="F16" s="84"/>
      <c r="G16" s="76">
        <f>_xlfn.XLOOKUP(Subject[[#This Row],[Teacher_ID]],Teachers!A:A,Teachers!C:C)</f>
        <v>0</v>
      </c>
    </row>
    <row r="17" spans="1:7" x14ac:dyDescent="0.25">
      <c r="A17" s="84"/>
      <c r="B17" s="84"/>
      <c r="C17" s="84"/>
      <c r="D17" s="84"/>
      <c r="E17" s="84"/>
      <c r="F17" s="84"/>
      <c r="G17" s="76">
        <f>_xlfn.XLOOKUP(Subject[[#This Row],[Teacher_ID]],Teachers!A:A,Teachers!C:C)</f>
        <v>0</v>
      </c>
    </row>
    <row r="18" spans="1:7" x14ac:dyDescent="0.25">
      <c r="A18" s="84"/>
      <c r="B18" s="84"/>
      <c r="C18" s="84"/>
      <c r="D18" s="84"/>
      <c r="E18" s="84"/>
      <c r="F18" s="84"/>
      <c r="G18" s="76">
        <f>_xlfn.XLOOKUP(Subject[[#This Row],[Teacher_ID]],Teachers!A:A,Teachers!C:C)</f>
        <v>0</v>
      </c>
    </row>
    <row r="19" spans="1:7" x14ac:dyDescent="0.25">
      <c r="A19" s="84"/>
      <c r="B19" s="84"/>
      <c r="C19" s="84"/>
      <c r="D19" s="84"/>
      <c r="E19" s="84"/>
      <c r="F19" s="84"/>
      <c r="G19" s="76">
        <f>_xlfn.XLOOKUP(Subject[[#This Row],[Teacher_ID]],Teachers!A:A,Teachers!C:C)</f>
        <v>0</v>
      </c>
    </row>
    <row r="20" spans="1:7" x14ac:dyDescent="0.25">
      <c r="A20" s="84"/>
      <c r="B20" s="84"/>
      <c r="C20" s="84"/>
      <c r="D20" s="84"/>
      <c r="E20" s="84"/>
      <c r="F20" s="84"/>
      <c r="G20" s="76">
        <f>_xlfn.XLOOKUP(Subject[[#This Row],[Teacher_ID]],Teachers!A:A,Teachers!C:C)</f>
        <v>0</v>
      </c>
    </row>
    <row r="21" spans="1:7" x14ac:dyDescent="0.25">
      <c r="A21" s="84"/>
      <c r="B21" s="84"/>
      <c r="C21" s="84"/>
      <c r="D21" s="84"/>
      <c r="E21" s="84"/>
      <c r="F21" s="84"/>
      <c r="G21" s="76">
        <f>_xlfn.XLOOKUP(Subject[[#This Row],[Teacher_ID]],Teachers!A:A,Teachers!C:C)</f>
        <v>0</v>
      </c>
    </row>
    <row r="22" spans="1:7" x14ac:dyDescent="0.25">
      <c r="A22" s="84"/>
      <c r="B22" s="84"/>
      <c r="C22" s="84"/>
      <c r="D22" s="84"/>
      <c r="E22" s="84"/>
      <c r="F22" s="84"/>
      <c r="G22" s="76">
        <f>_xlfn.XLOOKUP(Subject[[#This Row],[Teacher_ID]],Teachers!A:A,Teachers!C:C)</f>
        <v>0</v>
      </c>
    </row>
    <row r="23" spans="1:7" x14ac:dyDescent="0.25">
      <c r="A23" s="84"/>
      <c r="B23" s="84"/>
      <c r="C23" s="84"/>
      <c r="D23" s="84"/>
      <c r="E23" s="84"/>
      <c r="F23" s="84"/>
      <c r="G23" s="76">
        <f>_xlfn.XLOOKUP(Subject[[#This Row],[Teacher_ID]],Teachers!A:A,Teachers!C:C)</f>
        <v>0</v>
      </c>
    </row>
    <row r="24" spans="1:7" x14ac:dyDescent="0.25">
      <c r="A24" s="84"/>
      <c r="B24" s="84"/>
      <c r="C24" s="84"/>
      <c r="D24" s="84"/>
      <c r="E24" s="84"/>
      <c r="F24" s="84"/>
      <c r="G24" s="76">
        <f>_xlfn.XLOOKUP(Subject[[#This Row],[Teacher_ID]],Teachers!A:A,Teachers!C:C)</f>
        <v>0</v>
      </c>
    </row>
    <row r="25" spans="1:7" x14ac:dyDescent="0.25">
      <c r="A25" s="84"/>
      <c r="B25" s="84"/>
      <c r="C25" s="84"/>
      <c r="D25" s="84"/>
      <c r="E25" s="84"/>
      <c r="F25" s="84"/>
      <c r="G25" s="76">
        <f>_xlfn.XLOOKUP(Subject[[#This Row],[Teacher_ID]],Teachers!A:A,Teachers!C:C)</f>
        <v>0</v>
      </c>
    </row>
    <row r="26" spans="1:7" x14ac:dyDescent="0.25">
      <c r="A26" s="84"/>
      <c r="B26" s="84"/>
      <c r="C26" s="84"/>
      <c r="D26" s="84"/>
      <c r="E26" s="84"/>
      <c r="F26" s="84"/>
      <c r="G26" s="76">
        <f>_xlfn.XLOOKUP(Subject[[#This Row],[Teacher_ID]],Teachers!A:A,Teachers!C:C)</f>
        <v>0</v>
      </c>
    </row>
    <row r="27" spans="1:7" x14ac:dyDescent="0.25">
      <c r="A27" s="84"/>
      <c r="B27" s="84"/>
      <c r="C27" s="84"/>
      <c r="D27" s="84"/>
      <c r="E27" s="84"/>
      <c r="F27" s="84"/>
      <c r="G27" s="76">
        <f>_xlfn.XLOOKUP(Subject[[#This Row],[Teacher_ID]],Teachers!A:A,Teachers!C:C)</f>
        <v>0</v>
      </c>
    </row>
    <row r="28" spans="1:7" x14ac:dyDescent="0.25">
      <c r="A28" s="84"/>
      <c r="B28" s="84"/>
      <c r="C28" s="84"/>
      <c r="D28" s="84"/>
      <c r="E28" s="84"/>
      <c r="F28" s="84"/>
      <c r="G28" s="76">
        <f>_xlfn.XLOOKUP(Subject[[#This Row],[Teacher_ID]],Teachers!A:A,Teachers!C:C)</f>
        <v>0</v>
      </c>
    </row>
    <row r="29" spans="1:7" x14ac:dyDescent="0.25">
      <c r="A29" s="84"/>
      <c r="B29" s="84"/>
      <c r="C29" s="84"/>
      <c r="D29" s="84"/>
      <c r="E29" s="84"/>
      <c r="F29" s="84"/>
      <c r="G29" s="76">
        <f>_xlfn.XLOOKUP(Subject[[#This Row],[Teacher_ID]],Teachers!A:A,Teachers!C:C)</f>
        <v>0</v>
      </c>
    </row>
    <row r="30" spans="1:7" x14ac:dyDescent="0.25">
      <c r="A30" s="84"/>
      <c r="B30" s="84"/>
      <c r="C30" s="84"/>
      <c r="D30" s="84"/>
      <c r="E30" s="84"/>
      <c r="F30" s="84"/>
      <c r="G30" s="76">
        <f>_xlfn.XLOOKUP(Subject[[#This Row],[Teacher_ID]],Teachers!A:A,Teachers!C:C)</f>
        <v>0</v>
      </c>
    </row>
    <row r="31" spans="1:7" x14ac:dyDescent="0.25">
      <c r="A31" s="84"/>
      <c r="B31" s="84"/>
      <c r="C31" s="84"/>
      <c r="D31" s="84"/>
      <c r="E31" s="84"/>
      <c r="F31" s="84"/>
      <c r="G31" s="76">
        <f>_xlfn.XLOOKUP(Subject[[#This Row],[Teacher_ID]],Teachers!A:A,Teachers!C:C)</f>
        <v>0</v>
      </c>
    </row>
    <row r="32" spans="1:7" x14ac:dyDescent="0.25">
      <c r="A32" s="84"/>
      <c r="B32" s="84"/>
      <c r="C32" s="84"/>
      <c r="D32" s="84"/>
      <c r="E32" s="84"/>
      <c r="F32" s="84"/>
      <c r="G32" s="76">
        <f>_xlfn.XLOOKUP(Subject[[#This Row],[Teacher_ID]],Teachers!A:A,Teachers!C:C)</f>
        <v>0</v>
      </c>
    </row>
    <row r="33" spans="1:7" x14ac:dyDescent="0.25">
      <c r="A33" s="84"/>
      <c r="B33" s="84"/>
      <c r="C33" s="84"/>
      <c r="D33" s="84"/>
      <c r="E33" s="84"/>
      <c r="F33" s="84"/>
      <c r="G33" s="76">
        <f>_xlfn.XLOOKUP(Subject[[#This Row],[Teacher_ID]],Teachers!A:A,Teachers!C:C)</f>
        <v>0</v>
      </c>
    </row>
    <row r="34" spans="1:7" x14ac:dyDescent="0.25">
      <c r="A34" s="84"/>
      <c r="B34" s="84"/>
      <c r="C34" s="84"/>
      <c r="D34" s="84"/>
      <c r="E34" s="84"/>
      <c r="F34" s="84"/>
      <c r="G34" s="76">
        <f>_xlfn.XLOOKUP(Subject[[#This Row],[Teacher_ID]],Teachers!A:A,Teachers!C:C)</f>
        <v>0</v>
      </c>
    </row>
    <row r="35" spans="1:7" x14ac:dyDescent="0.25">
      <c r="A35" s="84"/>
      <c r="B35" s="84"/>
      <c r="C35" s="84"/>
      <c r="D35" s="84"/>
      <c r="E35" s="84"/>
      <c r="F35" s="84"/>
      <c r="G35" s="76">
        <f>_xlfn.XLOOKUP(Subject[[#This Row],[Teacher_ID]],Teachers!A:A,Teachers!C:C)</f>
        <v>0</v>
      </c>
    </row>
    <row r="36" spans="1:7" x14ac:dyDescent="0.25">
      <c r="A36" s="84"/>
      <c r="B36" s="84"/>
      <c r="C36" s="84"/>
      <c r="D36" s="84"/>
      <c r="E36" s="84"/>
      <c r="F36" s="84"/>
      <c r="G36" s="76">
        <f>_xlfn.XLOOKUP(Subject[[#This Row],[Teacher_ID]],Teachers!A:A,Teachers!C:C)</f>
        <v>0</v>
      </c>
    </row>
    <row r="37" spans="1:7" x14ac:dyDescent="0.25">
      <c r="A37" s="84"/>
      <c r="B37" s="84"/>
      <c r="C37" s="84"/>
      <c r="D37" s="84"/>
      <c r="E37" s="84"/>
      <c r="F37" s="84"/>
      <c r="G37" s="76">
        <f>_xlfn.XLOOKUP(Subject[[#This Row],[Teacher_ID]],Teachers!A:A,Teachers!C:C)</f>
        <v>0</v>
      </c>
    </row>
    <row r="38" spans="1:7" x14ac:dyDescent="0.25">
      <c r="A38" s="84"/>
      <c r="B38" s="84"/>
      <c r="C38" s="84"/>
      <c r="D38" s="84"/>
      <c r="E38" s="84"/>
      <c r="F38" s="84"/>
      <c r="G38" s="76">
        <f>_xlfn.XLOOKUP(Subject[[#This Row],[Teacher_ID]],Teachers!A:A,Teachers!C:C)</f>
        <v>0</v>
      </c>
    </row>
    <row r="39" spans="1:7" x14ac:dyDescent="0.25">
      <c r="A39" s="84"/>
      <c r="B39" s="84"/>
      <c r="C39" s="84"/>
      <c r="D39" s="84"/>
      <c r="E39" s="84"/>
      <c r="F39" s="84"/>
      <c r="G39" s="76">
        <f>_xlfn.XLOOKUP(Subject[[#This Row],[Teacher_ID]],Teachers!A:A,Teachers!C:C)</f>
        <v>0</v>
      </c>
    </row>
    <row r="40" spans="1:7" x14ac:dyDescent="0.25">
      <c r="A40" s="84"/>
      <c r="B40" s="84"/>
      <c r="C40" s="84"/>
      <c r="D40" s="84"/>
      <c r="E40" s="84"/>
      <c r="F40" s="84"/>
      <c r="G40" s="76">
        <f>_xlfn.XLOOKUP(Subject[[#This Row],[Teacher_ID]],Teachers!A:A,Teachers!C:C)</f>
        <v>0</v>
      </c>
    </row>
    <row r="41" spans="1:7" x14ac:dyDescent="0.25">
      <c r="A41" s="84"/>
      <c r="B41" s="84"/>
      <c r="C41" s="84"/>
      <c r="D41" s="84"/>
      <c r="E41" s="84"/>
      <c r="F41" s="84"/>
      <c r="G41" s="76">
        <f>_xlfn.XLOOKUP(Subject[[#This Row],[Teacher_ID]],Teachers!A:A,Teachers!C:C)</f>
        <v>0</v>
      </c>
    </row>
    <row r="42" spans="1:7" x14ac:dyDescent="0.25">
      <c r="A42" s="84"/>
      <c r="B42" s="84"/>
      <c r="C42" s="84"/>
      <c r="D42" s="84"/>
      <c r="E42" s="84"/>
      <c r="F42" s="84"/>
      <c r="G42" s="76">
        <f>_xlfn.XLOOKUP(Subject[[#This Row],[Teacher_ID]],Teachers!A:A,Teachers!C:C)</f>
        <v>0</v>
      </c>
    </row>
    <row r="43" spans="1:7" x14ac:dyDescent="0.25">
      <c r="A43" s="84"/>
      <c r="B43" s="84"/>
      <c r="C43" s="84"/>
      <c r="D43" s="84"/>
      <c r="E43" s="84"/>
      <c r="F43" s="84"/>
      <c r="G43" s="76">
        <f>_xlfn.XLOOKUP(Subject[[#This Row],[Teacher_ID]],Teachers!A:A,Teachers!C:C)</f>
        <v>0</v>
      </c>
    </row>
    <row r="44" spans="1:7" x14ac:dyDescent="0.25">
      <c r="A44" s="84"/>
      <c r="B44" s="84"/>
      <c r="C44" s="84"/>
      <c r="D44" s="84"/>
      <c r="E44" s="84"/>
      <c r="F44" s="84"/>
      <c r="G44" s="76">
        <f>_xlfn.XLOOKUP(Subject[[#This Row],[Teacher_ID]],Teachers!A:A,Teachers!C:C)</f>
        <v>0</v>
      </c>
    </row>
    <row r="45" spans="1:7" x14ac:dyDescent="0.25">
      <c r="A45" s="84"/>
      <c r="B45" s="84"/>
      <c r="C45" s="84"/>
      <c r="D45" s="84"/>
      <c r="E45" s="84"/>
      <c r="F45" s="84"/>
      <c r="G45" s="76">
        <f>_xlfn.XLOOKUP(Subject[[#This Row],[Teacher_ID]],Teachers!A:A,Teachers!C:C)</f>
        <v>0</v>
      </c>
    </row>
    <row r="46" spans="1:7" x14ac:dyDescent="0.25">
      <c r="A46" s="84"/>
      <c r="B46" s="84"/>
      <c r="C46" s="84"/>
      <c r="D46" s="84"/>
      <c r="E46" s="84"/>
      <c r="F46" s="84"/>
      <c r="G46" s="76">
        <f>_xlfn.XLOOKUP(Subject[[#This Row],[Teacher_ID]],Teachers!A:A,Teachers!C:C)</f>
        <v>0</v>
      </c>
    </row>
    <row r="47" spans="1:7" x14ac:dyDescent="0.25">
      <c r="A47" s="84"/>
      <c r="B47" s="84"/>
      <c r="C47" s="84"/>
      <c r="D47" s="84"/>
      <c r="E47" s="84"/>
      <c r="F47" s="84"/>
      <c r="G47" s="76">
        <f>_xlfn.XLOOKUP(Subject[[#This Row],[Teacher_ID]],Teachers!A:A,Teachers!C:C)</f>
        <v>0</v>
      </c>
    </row>
    <row r="48" spans="1:7" x14ac:dyDescent="0.25">
      <c r="A48" s="84"/>
      <c r="B48" s="84"/>
      <c r="C48" s="84"/>
      <c r="D48" s="84"/>
      <c r="E48" s="84"/>
      <c r="F48" s="84"/>
      <c r="G48" s="76">
        <f>_xlfn.XLOOKUP(Subject[[#This Row],[Teacher_ID]],Teachers!A:A,Teachers!C:C)</f>
        <v>0</v>
      </c>
    </row>
    <row r="49" spans="1:7" x14ac:dyDescent="0.25">
      <c r="A49" s="84"/>
      <c r="B49" s="84"/>
      <c r="C49" s="84"/>
      <c r="D49" s="84"/>
      <c r="E49" s="84"/>
      <c r="F49" s="84"/>
      <c r="G49" s="76">
        <f>_xlfn.XLOOKUP(Subject[[#This Row],[Teacher_ID]],Teachers!A:A,Teachers!C:C)</f>
        <v>0</v>
      </c>
    </row>
    <row r="50" spans="1:7" x14ac:dyDescent="0.25">
      <c r="A50" s="84"/>
      <c r="B50" s="84"/>
      <c r="C50" s="84"/>
      <c r="D50" s="84"/>
      <c r="E50" s="84"/>
      <c r="F50" s="84"/>
      <c r="G50" s="76">
        <f>_xlfn.XLOOKUP(Subject[[#This Row],[Teacher_ID]],Teachers!A:A,Teachers!C:C)</f>
        <v>0</v>
      </c>
    </row>
    <row r="51" spans="1:7" x14ac:dyDescent="0.25">
      <c r="A51" s="84"/>
      <c r="B51" s="84"/>
      <c r="C51" s="84"/>
      <c r="D51" s="84"/>
      <c r="E51" s="84"/>
      <c r="F51" s="84"/>
      <c r="G51" s="76">
        <f>_xlfn.XLOOKUP(Subject[[#This Row],[Teacher_ID]],Teachers!A:A,Teachers!C:C)</f>
        <v>0</v>
      </c>
    </row>
    <row r="52" spans="1:7" x14ac:dyDescent="0.25">
      <c r="A52" s="84"/>
      <c r="B52" s="84"/>
      <c r="C52" s="84"/>
      <c r="D52" s="84"/>
      <c r="E52" s="84"/>
      <c r="F52" s="84"/>
      <c r="G52" s="76">
        <f>_xlfn.XLOOKUP(Subject[[#This Row],[Teacher_ID]],Teachers!A:A,Teachers!C:C)</f>
        <v>0</v>
      </c>
    </row>
    <row r="53" spans="1:7" x14ac:dyDescent="0.25">
      <c r="A53" s="84"/>
      <c r="B53" s="84"/>
      <c r="C53" s="84"/>
      <c r="D53" s="84"/>
      <c r="E53" s="84"/>
      <c r="F53" s="84"/>
      <c r="G53" s="76">
        <f>_xlfn.XLOOKUP(Subject[[#This Row],[Teacher_ID]],Teachers!A:A,Teachers!C:C)</f>
        <v>0</v>
      </c>
    </row>
    <row r="54" spans="1:7" x14ac:dyDescent="0.25">
      <c r="A54" s="84"/>
      <c r="B54" s="84"/>
      <c r="C54" s="84"/>
      <c r="D54" s="84"/>
      <c r="E54" s="84"/>
      <c r="F54" s="84"/>
      <c r="G54" s="76">
        <f>_xlfn.XLOOKUP(Subject[[#This Row],[Teacher_ID]],Teachers!A:A,Teachers!C:C)</f>
        <v>0</v>
      </c>
    </row>
    <row r="55" spans="1:7" x14ac:dyDescent="0.25">
      <c r="A55" s="84"/>
      <c r="B55" s="84"/>
      <c r="C55" s="84"/>
      <c r="D55" s="84"/>
      <c r="E55" s="84"/>
      <c r="F55" s="84"/>
      <c r="G55" s="76">
        <f>_xlfn.XLOOKUP(Subject[[#This Row],[Teacher_ID]],Teachers!A:A,Teachers!C:C)</f>
        <v>0</v>
      </c>
    </row>
    <row r="56" spans="1:7" x14ac:dyDescent="0.25">
      <c r="A56" s="84"/>
      <c r="B56" s="84"/>
      <c r="C56" s="84"/>
      <c r="D56" s="84"/>
      <c r="E56" s="84"/>
      <c r="F56" s="84"/>
      <c r="G56" s="76">
        <f>_xlfn.XLOOKUP(Subject[[#This Row],[Teacher_ID]],Teachers!A:A,Teachers!C:C)</f>
        <v>0</v>
      </c>
    </row>
    <row r="57" spans="1:7" x14ac:dyDescent="0.25">
      <c r="A57" s="84"/>
      <c r="B57" s="84"/>
      <c r="C57" s="84"/>
      <c r="D57" s="84"/>
      <c r="E57" s="84"/>
      <c r="F57" s="84"/>
      <c r="G57" s="76">
        <f>_xlfn.XLOOKUP(Subject[[#This Row],[Teacher_ID]],Teachers!A:A,Teachers!C:C)</f>
        <v>0</v>
      </c>
    </row>
    <row r="58" spans="1:7" x14ac:dyDescent="0.25">
      <c r="A58" s="84"/>
      <c r="B58" s="84"/>
      <c r="C58" s="84"/>
      <c r="D58" s="84"/>
      <c r="E58" s="84"/>
      <c r="F58" s="84"/>
      <c r="G58" s="76">
        <f>_xlfn.XLOOKUP(Subject[[#This Row],[Teacher_ID]],Teachers!A:A,Teachers!C:C)</f>
        <v>0</v>
      </c>
    </row>
    <row r="59" spans="1:7" x14ac:dyDescent="0.25">
      <c r="A59" s="84"/>
      <c r="B59" s="84"/>
      <c r="C59" s="84"/>
      <c r="D59" s="84"/>
      <c r="E59" s="84"/>
      <c r="F59" s="84"/>
      <c r="G59" s="76">
        <f>_xlfn.XLOOKUP(Subject[[#This Row],[Teacher_ID]],Teachers!A:A,Teachers!C:C)</f>
        <v>0</v>
      </c>
    </row>
    <row r="60" spans="1:7" x14ac:dyDescent="0.25">
      <c r="A60" s="84"/>
      <c r="B60" s="84"/>
      <c r="C60" s="84"/>
      <c r="D60" s="84"/>
      <c r="E60" s="84"/>
      <c r="F60" s="84"/>
      <c r="G60" s="76">
        <f>_xlfn.XLOOKUP(Subject[[#This Row],[Teacher_ID]],Teachers!A:A,Teachers!C:C)</f>
        <v>0</v>
      </c>
    </row>
    <row r="61" spans="1:7" x14ac:dyDescent="0.25">
      <c r="A61" s="84"/>
      <c r="B61" s="84"/>
      <c r="C61" s="84"/>
      <c r="D61" s="84"/>
      <c r="E61" s="84"/>
      <c r="F61" s="84"/>
      <c r="G61" s="76">
        <f>_xlfn.XLOOKUP(Subject[[#This Row],[Teacher_ID]],Teachers!A:A,Teachers!C:C)</f>
        <v>0</v>
      </c>
    </row>
    <row r="62" spans="1:7" x14ac:dyDescent="0.25">
      <c r="A62" s="84"/>
      <c r="B62" s="84"/>
      <c r="C62" s="84"/>
      <c r="D62" s="84"/>
      <c r="E62" s="84"/>
      <c r="F62" s="84"/>
      <c r="G62" s="76">
        <f>_xlfn.XLOOKUP(Subject[[#This Row],[Teacher_ID]],Teachers!A:A,Teachers!C:C)</f>
        <v>0</v>
      </c>
    </row>
    <row r="63" spans="1:7" x14ac:dyDescent="0.25">
      <c r="A63" s="84"/>
      <c r="B63" s="84"/>
      <c r="C63" s="84"/>
      <c r="D63" s="84"/>
      <c r="E63" s="84"/>
      <c r="F63" s="84"/>
      <c r="G63" s="76">
        <f>_xlfn.XLOOKUP(Subject[[#This Row],[Teacher_ID]],Teachers!A:A,Teachers!C:C)</f>
        <v>0</v>
      </c>
    </row>
    <row r="64" spans="1:7" x14ac:dyDescent="0.25">
      <c r="A64" s="84"/>
      <c r="B64" s="84"/>
      <c r="C64" s="84"/>
      <c r="D64" s="84"/>
      <c r="E64" s="84"/>
      <c r="F64" s="84"/>
      <c r="G64" s="76">
        <f>_xlfn.XLOOKUP(Subject[[#This Row],[Teacher_ID]],Teachers!A:A,Teachers!C:C)</f>
        <v>0</v>
      </c>
    </row>
    <row r="65" spans="1:7" x14ac:dyDescent="0.25">
      <c r="A65" s="84"/>
      <c r="B65" s="84"/>
      <c r="C65" s="84"/>
      <c r="D65" s="84"/>
      <c r="E65" s="84"/>
      <c r="F65" s="84"/>
      <c r="G65" s="76">
        <f>_xlfn.XLOOKUP(Subject[[#This Row],[Teacher_ID]],Teachers!A:A,Teachers!C:C)</f>
        <v>0</v>
      </c>
    </row>
    <row r="66" spans="1:7" x14ac:dyDescent="0.25">
      <c r="A66" s="84"/>
      <c r="B66" s="84"/>
      <c r="C66" s="84"/>
      <c r="D66" s="84"/>
      <c r="E66" s="84"/>
      <c r="F66" s="84"/>
      <c r="G66" s="76">
        <f>_xlfn.XLOOKUP(Subject[[#This Row],[Teacher_ID]],Teachers!A:A,Teachers!C:C)</f>
        <v>0</v>
      </c>
    </row>
    <row r="67" spans="1:7" x14ac:dyDescent="0.25">
      <c r="A67" s="84"/>
      <c r="B67" s="84"/>
      <c r="C67" s="84"/>
      <c r="D67" s="84"/>
      <c r="E67" s="84"/>
      <c r="F67" s="84"/>
      <c r="G67" s="76">
        <f>_xlfn.XLOOKUP(Subject[[#This Row],[Teacher_ID]],Teachers!A:A,Teachers!C:C)</f>
        <v>0</v>
      </c>
    </row>
    <row r="68" spans="1:7" x14ac:dyDescent="0.25">
      <c r="A68" s="84"/>
      <c r="B68" s="84"/>
      <c r="C68" s="84"/>
      <c r="D68" s="84"/>
      <c r="E68" s="84"/>
      <c r="F68" s="84"/>
      <c r="G68" s="76">
        <f>_xlfn.XLOOKUP(Subject[[#This Row],[Teacher_ID]],Teachers!A:A,Teachers!C:C)</f>
        <v>0</v>
      </c>
    </row>
    <row r="69" spans="1:7" x14ac:dyDescent="0.25">
      <c r="A69" s="84"/>
      <c r="B69" s="84"/>
      <c r="C69" s="84"/>
      <c r="D69" s="84"/>
      <c r="E69" s="84"/>
      <c r="F69" s="84"/>
      <c r="G69" s="76">
        <f>_xlfn.XLOOKUP(Subject[[#This Row],[Teacher_ID]],Teachers!A:A,Teachers!C:C)</f>
        <v>0</v>
      </c>
    </row>
    <row r="70" spans="1:7" x14ac:dyDescent="0.25">
      <c r="A70" s="84"/>
      <c r="B70" s="84"/>
      <c r="C70" s="84"/>
      <c r="D70" s="84"/>
      <c r="E70" s="84"/>
      <c r="F70" s="84"/>
      <c r="G70" s="76">
        <f>_xlfn.XLOOKUP(Subject[[#This Row],[Teacher_ID]],Teachers!A:A,Teachers!C:C)</f>
        <v>0</v>
      </c>
    </row>
    <row r="71" spans="1:7" x14ac:dyDescent="0.25">
      <c r="A71" s="84"/>
      <c r="B71" s="84"/>
      <c r="C71" s="84"/>
      <c r="D71" s="84"/>
      <c r="E71" s="84"/>
      <c r="F71" s="84"/>
      <c r="G71" s="76">
        <f>_xlfn.XLOOKUP(Subject[[#This Row],[Teacher_ID]],Teachers!A:A,Teachers!C:C)</f>
        <v>0</v>
      </c>
    </row>
    <row r="72" spans="1:7" x14ac:dyDescent="0.25">
      <c r="A72" s="84"/>
      <c r="B72" s="84"/>
      <c r="C72" s="84"/>
      <c r="D72" s="84"/>
      <c r="E72" s="84"/>
      <c r="F72" s="84"/>
      <c r="G72" s="76">
        <f>_xlfn.XLOOKUP(Subject[[#This Row],[Teacher_ID]],Teachers!A:A,Teachers!C:C)</f>
        <v>0</v>
      </c>
    </row>
    <row r="73" spans="1:7" x14ac:dyDescent="0.25">
      <c r="A73" s="84"/>
      <c r="B73" s="84"/>
      <c r="C73" s="84"/>
      <c r="D73" s="84"/>
      <c r="E73" s="84"/>
      <c r="F73" s="84"/>
      <c r="G73" s="76">
        <f>_xlfn.XLOOKUP(Subject[[#This Row],[Teacher_ID]],Teachers!A:A,Teachers!C:C)</f>
        <v>0</v>
      </c>
    </row>
    <row r="74" spans="1:7" x14ac:dyDescent="0.25">
      <c r="A74" s="84"/>
      <c r="B74" s="84"/>
      <c r="C74" s="84"/>
      <c r="D74" s="84"/>
      <c r="E74" s="84"/>
      <c r="F74" s="84"/>
      <c r="G74" s="76">
        <f>_xlfn.XLOOKUP(Subject[[#This Row],[Teacher_ID]],Teachers!A:A,Teachers!C:C)</f>
        <v>0</v>
      </c>
    </row>
    <row r="75" spans="1:7" x14ac:dyDescent="0.25">
      <c r="A75" s="84"/>
      <c r="B75" s="84"/>
      <c r="C75" s="84"/>
      <c r="D75" s="84"/>
      <c r="E75" s="84"/>
      <c r="F75" s="84"/>
      <c r="G75" s="76">
        <f>_xlfn.XLOOKUP(Subject[[#This Row],[Teacher_ID]],Teachers!A:A,Teachers!C:C)</f>
        <v>0</v>
      </c>
    </row>
    <row r="76" spans="1:7" x14ac:dyDescent="0.25">
      <c r="A76" s="84"/>
      <c r="B76" s="84"/>
      <c r="C76" s="84"/>
      <c r="D76" s="84"/>
      <c r="E76" s="84"/>
      <c r="F76" s="84"/>
      <c r="G76" s="76">
        <f>_xlfn.XLOOKUP(Subject[[#This Row],[Teacher_ID]],Teachers!A:A,Teachers!C:C)</f>
        <v>0</v>
      </c>
    </row>
    <row r="77" spans="1:7" x14ac:dyDescent="0.25">
      <c r="A77" s="84"/>
      <c r="B77" s="84"/>
      <c r="C77" s="84"/>
      <c r="D77" s="84"/>
      <c r="E77" s="84"/>
      <c r="F77" s="84"/>
      <c r="G77" s="76">
        <f>_xlfn.XLOOKUP(Subject[[#This Row],[Teacher_ID]],Teachers!A:A,Teachers!C:C)</f>
        <v>0</v>
      </c>
    </row>
    <row r="78" spans="1:7" x14ac:dyDescent="0.25">
      <c r="A78" s="84"/>
      <c r="B78" s="84"/>
      <c r="C78" s="84"/>
      <c r="D78" s="84"/>
      <c r="E78" s="84"/>
      <c r="F78" s="84"/>
      <c r="G78" s="76">
        <f>_xlfn.XLOOKUP(Subject[[#This Row],[Teacher_ID]],Teachers!A:A,Teachers!C:C)</f>
        <v>0</v>
      </c>
    </row>
    <row r="79" spans="1:7" x14ac:dyDescent="0.25">
      <c r="A79" s="84"/>
      <c r="B79" s="84"/>
      <c r="C79" s="84"/>
      <c r="D79" s="84"/>
      <c r="E79" s="84"/>
      <c r="F79" s="84"/>
      <c r="G79" s="76">
        <f>_xlfn.XLOOKUP(Subject[[#This Row],[Teacher_ID]],Teachers!A:A,Teachers!C:C)</f>
        <v>0</v>
      </c>
    </row>
    <row r="80" spans="1:7" x14ac:dyDescent="0.25">
      <c r="A80" s="84"/>
      <c r="B80" s="84"/>
      <c r="C80" s="84"/>
      <c r="D80" s="84"/>
      <c r="E80" s="84"/>
      <c r="F80" s="84"/>
      <c r="G80" s="76">
        <f>_xlfn.XLOOKUP(Subject[[#This Row],[Teacher_ID]],Teachers!A:A,Teachers!C:C)</f>
        <v>0</v>
      </c>
    </row>
    <row r="81" spans="1:7" x14ac:dyDescent="0.25">
      <c r="A81" s="84"/>
      <c r="B81" s="84"/>
      <c r="C81" s="84"/>
      <c r="D81" s="84"/>
      <c r="E81" s="84"/>
      <c r="F81" s="84"/>
      <c r="G81" s="76">
        <f>_xlfn.XLOOKUP(Subject[[#This Row],[Teacher_ID]],Teachers!A:A,Teachers!C:C)</f>
        <v>0</v>
      </c>
    </row>
    <row r="82" spans="1:7" x14ac:dyDescent="0.25">
      <c r="A82" s="84"/>
      <c r="B82" s="84"/>
      <c r="C82" s="84"/>
      <c r="D82" s="84"/>
      <c r="E82" s="84"/>
      <c r="F82" s="84"/>
      <c r="G82" s="76">
        <f>_xlfn.XLOOKUP(Subject[[#This Row],[Teacher_ID]],Teachers!A:A,Teachers!C:C)</f>
        <v>0</v>
      </c>
    </row>
    <row r="83" spans="1:7" x14ac:dyDescent="0.25">
      <c r="A83" s="84"/>
      <c r="B83" s="84"/>
      <c r="C83" s="84"/>
      <c r="D83" s="84"/>
      <c r="E83" s="84"/>
      <c r="F83" s="84"/>
      <c r="G83" s="76">
        <f>_xlfn.XLOOKUP(Subject[[#This Row],[Teacher_ID]],Teachers!A:A,Teachers!C:C)</f>
        <v>0</v>
      </c>
    </row>
    <row r="84" spans="1:7" x14ac:dyDescent="0.25">
      <c r="A84" s="84"/>
      <c r="B84" s="84"/>
      <c r="C84" s="84"/>
      <c r="D84" s="84"/>
      <c r="E84" s="84"/>
      <c r="F84" s="84"/>
      <c r="G84" s="76">
        <f>_xlfn.XLOOKUP(Subject[[#This Row],[Teacher_ID]],Teachers!A:A,Teachers!C:C)</f>
        <v>0</v>
      </c>
    </row>
    <row r="85" spans="1:7" x14ac:dyDescent="0.25">
      <c r="A85" s="84"/>
      <c r="B85" s="84"/>
      <c r="C85" s="84"/>
      <c r="D85" s="84"/>
      <c r="E85" s="84"/>
      <c r="F85" s="84"/>
      <c r="G85" s="76">
        <f>_xlfn.XLOOKUP(Subject[[#This Row],[Teacher_ID]],Teachers!A:A,Teachers!C:C)</f>
        <v>0</v>
      </c>
    </row>
    <row r="86" spans="1:7" x14ac:dyDescent="0.25">
      <c r="A86" s="84"/>
      <c r="B86" s="84"/>
      <c r="C86" s="84"/>
      <c r="D86" s="84"/>
      <c r="E86" s="84"/>
      <c r="F86" s="84"/>
      <c r="G86" s="76">
        <f>_xlfn.XLOOKUP(Subject[[#This Row],[Teacher_ID]],Teachers!A:A,Teachers!C:C)</f>
        <v>0</v>
      </c>
    </row>
    <row r="87" spans="1:7" x14ac:dyDescent="0.25">
      <c r="A87" s="84"/>
      <c r="B87" s="84"/>
      <c r="C87" s="84"/>
      <c r="D87" s="84"/>
      <c r="E87" s="84"/>
      <c r="F87" s="84"/>
      <c r="G87" s="76">
        <f>_xlfn.XLOOKUP(Subject[[#This Row],[Teacher_ID]],Teachers!A:A,Teachers!C:C)</f>
        <v>0</v>
      </c>
    </row>
    <row r="88" spans="1:7" x14ac:dyDescent="0.25">
      <c r="A88" s="84"/>
      <c r="B88" s="84"/>
      <c r="C88" s="84"/>
      <c r="D88" s="84"/>
      <c r="E88" s="84"/>
      <c r="F88" s="84"/>
      <c r="G88" s="76">
        <f>_xlfn.XLOOKUP(Subject[[#This Row],[Teacher_ID]],Teachers!A:A,Teachers!C:C)</f>
        <v>0</v>
      </c>
    </row>
    <row r="89" spans="1:7" x14ac:dyDescent="0.25">
      <c r="A89" s="84"/>
      <c r="B89" s="84"/>
      <c r="C89" s="84"/>
      <c r="D89" s="84"/>
      <c r="E89" s="84"/>
      <c r="F89" s="84"/>
      <c r="G89" s="76">
        <f>_xlfn.XLOOKUP(Subject[[#This Row],[Teacher_ID]],Teachers!A:A,Teachers!C:C)</f>
        <v>0</v>
      </c>
    </row>
    <row r="90" spans="1:7" x14ac:dyDescent="0.25">
      <c r="A90" s="84"/>
      <c r="B90" s="84"/>
      <c r="C90" s="84"/>
      <c r="D90" s="84"/>
      <c r="E90" s="84"/>
      <c r="F90" s="84"/>
      <c r="G90" s="76">
        <f>_xlfn.XLOOKUP(Subject[[#This Row],[Teacher_ID]],Teachers!A:A,Teachers!C:C)</f>
        <v>0</v>
      </c>
    </row>
    <row r="91" spans="1:7" x14ac:dyDescent="0.25">
      <c r="A91" s="84"/>
      <c r="B91" s="84"/>
      <c r="C91" s="84"/>
      <c r="D91" s="84"/>
      <c r="E91" s="84"/>
      <c r="F91" s="84"/>
      <c r="G91" s="76">
        <f>_xlfn.XLOOKUP(Subject[[#This Row],[Teacher_ID]],Teachers!A:A,Teachers!C:C)</f>
        <v>0</v>
      </c>
    </row>
    <row r="92" spans="1:7" x14ac:dyDescent="0.25">
      <c r="A92" s="84"/>
      <c r="B92" s="84"/>
      <c r="C92" s="84"/>
      <c r="D92" s="84"/>
      <c r="E92" s="84"/>
      <c r="F92" s="84"/>
      <c r="G92" s="76">
        <f>_xlfn.XLOOKUP(Subject[[#This Row],[Teacher_ID]],Teachers!A:A,Teachers!C:C)</f>
        <v>0</v>
      </c>
    </row>
    <row r="93" spans="1:7" x14ac:dyDescent="0.25">
      <c r="A93" s="84"/>
      <c r="B93" s="84"/>
      <c r="C93" s="84"/>
      <c r="D93" s="84"/>
      <c r="E93" s="84"/>
      <c r="F93" s="84"/>
      <c r="G93" s="76">
        <f>_xlfn.XLOOKUP(Subject[[#This Row],[Teacher_ID]],Teachers!A:A,Teachers!C:C)</f>
        <v>0</v>
      </c>
    </row>
    <row r="94" spans="1:7" x14ac:dyDescent="0.25">
      <c r="A94" s="84"/>
      <c r="B94" s="84"/>
      <c r="C94" s="84"/>
      <c r="D94" s="84"/>
      <c r="E94" s="84"/>
      <c r="F94" s="84"/>
      <c r="G94" s="76">
        <f>_xlfn.XLOOKUP(Subject[[#This Row],[Teacher_ID]],Teachers!A:A,Teachers!C:C)</f>
        <v>0</v>
      </c>
    </row>
    <row r="95" spans="1:7" x14ac:dyDescent="0.25">
      <c r="A95" s="84"/>
      <c r="B95" s="84"/>
      <c r="C95" s="84"/>
      <c r="D95" s="84"/>
      <c r="E95" s="84"/>
      <c r="F95" s="84"/>
      <c r="G95" s="76">
        <f>_xlfn.XLOOKUP(Subject[[#This Row],[Teacher_ID]],Teachers!A:A,Teachers!C:C)</f>
        <v>0</v>
      </c>
    </row>
    <row r="96" spans="1:7" x14ac:dyDescent="0.25">
      <c r="A96" s="84"/>
      <c r="B96" s="84"/>
      <c r="C96" s="84"/>
      <c r="D96" s="84"/>
      <c r="E96" s="84"/>
      <c r="F96" s="84"/>
      <c r="G96" s="76">
        <f>_xlfn.XLOOKUP(Subject[[#This Row],[Teacher_ID]],Teachers!A:A,Teachers!C:C)</f>
        <v>0</v>
      </c>
    </row>
    <row r="97" spans="1:7" x14ac:dyDescent="0.25">
      <c r="A97" s="84"/>
      <c r="B97" s="84"/>
      <c r="C97" s="84"/>
      <c r="D97" s="84"/>
      <c r="E97" s="84"/>
      <c r="F97" s="84"/>
      <c r="G97" s="76">
        <f>_xlfn.XLOOKUP(Subject[[#This Row],[Teacher_ID]],Teachers!A:A,Teachers!C:C)</f>
        <v>0</v>
      </c>
    </row>
    <row r="98" spans="1:7" x14ac:dyDescent="0.25">
      <c r="A98" s="84"/>
      <c r="B98" s="84"/>
      <c r="C98" s="84"/>
      <c r="D98" s="84"/>
      <c r="E98" s="84"/>
      <c r="F98" s="84"/>
      <c r="G98" s="76">
        <f>_xlfn.XLOOKUP(Subject[[#This Row],[Teacher_ID]],Teachers!A:A,Teachers!C:C)</f>
        <v>0</v>
      </c>
    </row>
    <row r="99" spans="1:7" x14ac:dyDescent="0.25">
      <c r="A99" s="84"/>
      <c r="B99" s="84"/>
      <c r="C99" s="84"/>
      <c r="D99" s="84"/>
      <c r="E99" s="84"/>
      <c r="F99" s="84"/>
      <c r="G99" s="76">
        <f>_xlfn.XLOOKUP(Subject[[#This Row],[Teacher_ID]],Teachers!A:A,Teachers!C:C)</f>
        <v>0</v>
      </c>
    </row>
    <row r="100" spans="1:7" x14ac:dyDescent="0.25">
      <c r="A100" s="84"/>
      <c r="B100" s="84"/>
      <c r="C100" s="84"/>
      <c r="D100" s="84"/>
      <c r="E100" s="84"/>
      <c r="F100" s="84"/>
      <c r="G100" s="76">
        <f>_xlfn.XLOOKUP(Subject[[#This Row],[Teacher_ID]],Teachers!A:A,Teachers!C:C)</f>
        <v>0</v>
      </c>
    </row>
    <row r="101" spans="1:7" x14ac:dyDescent="0.25">
      <c r="A101" s="84"/>
      <c r="B101" s="84"/>
      <c r="C101" s="84"/>
      <c r="D101" s="84"/>
      <c r="E101" s="84"/>
      <c r="F101" s="84"/>
      <c r="G101" s="76">
        <f>_xlfn.XLOOKUP(Subject[[#This Row],[Teacher_ID]],Teachers!A:A,Teachers!C:C)</f>
        <v>0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85B5-E0D8-4186-BFE2-836FC19FB2E2}">
  <dimension ref="A1:E101"/>
  <sheetViews>
    <sheetView workbookViewId="0">
      <selection activeCell="A2" sqref="A2"/>
    </sheetView>
  </sheetViews>
  <sheetFormatPr defaultRowHeight="15" x14ac:dyDescent="0.25"/>
  <cols>
    <col min="1" max="1" width="10.5703125" style="81" bestFit="1" customWidth="1"/>
    <col min="2" max="2" width="14" style="81" bestFit="1" customWidth="1"/>
    <col min="3" max="3" width="18.7109375" style="81" bestFit="1" customWidth="1"/>
    <col min="4" max="4" width="16.7109375" bestFit="1" customWidth="1"/>
    <col min="5" max="5" width="16.85546875" style="81" bestFit="1" customWidth="1"/>
  </cols>
  <sheetData>
    <row r="1" spans="1:5" x14ac:dyDescent="0.25">
      <c r="A1" s="81" t="s">
        <v>41</v>
      </c>
      <c r="B1" s="81" t="s">
        <v>42</v>
      </c>
      <c r="C1" s="81" t="s">
        <v>43</v>
      </c>
      <c r="D1" t="s">
        <v>70</v>
      </c>
      <c r="E1" s="81" t="s">
        <v>44</v>
      </c>
    </row>
    <row r="2" spans="1:5" x14ac:dyDescent="0.25">
      <c r="A2" s="84">
        <v>1</v>
      </c>
      <c r="B2" s="84" t="s">
        <v>10</v>
      </c>
      <c r="C2" s="84" t="s">
        <v>87</v>
      </c>
      <c r="D2" s="76">
        <f xml:space="preserve"> COUNTIF(Students!J:J,Class[[#This Row],[Class_Name]])</f>
        <v>1</v>
      </c>
      <c r="E2" s="84"/>
    </row>
    <row r="3" spans="1:5" x14ac:dyDescent="0.25">
      <c r="A3" s="84">
        <v>2</v>
      </c>
      <c r="B3" s="84" t="s">
        <v>104</v>
      </c>
      <c r="C3" s="84" t="s">
        <v>193</v>
      </c>
      <c r="D3" s="76">
        <f xml:space="preserve"> COUNTIF(Students!J:J,#REF!)</f>
        <v>0</v>
      </c>
      <c r="E3" s="84"/>
    </row>
    <row r="4" spans="1:5" x14ac:dyDescent="0.25">
      <c r="A4" s="84"/>
      <c r="B4" s="84"/>
      <c r="C4" s="84"/>
      <c r="D4" s="76">
        <f xml:space="preserve"> COUNTIF(Students!J:J,#REF!)</f>
        <v>0</v>
      </c>
      <c r="E4" s="84"/>
    </row>
    <row r="5" spans="1:5" x14ac:dyDescent="0.25">
      <c r="A5" s="84"/>
      <c r="B5" s="84"/>
      <c r="C5" s="84"/>
      <c r="D5" s="76">
        <f xml:space="preserve"> COUNTIF(Students!J:J,#REF!)</f>
        <v>0</v>
      </c>
      <c r="E5" s="84"/>
    </row>
    <row r="6" spans="1:5" x14ac:dyDescent="0.25">
      <c r="A6" s="84"/>
      <c r="B6" s="84"/>
      <c r="C6" s="84"/>
      <c r="D6" s="76">
        <f xml:space="preserve"> COUNTIF(Students!J:J,#REF!)</f>
        <v>0</v>
      </c>
      <c r="E6" s="84"/>
    </row>
    <row r="7" spans="1:5" x14ac:dyDescent="0.25">
      <c r="A7" s="84"/>
      <c r="B7" s="84"/>
      <c r="C7" s="84"/>
      <c r="D7" s="76">
        <f xml:space="preserve"> COUNTIF(Students!J:J,#REF!)</f>
        <v>0</v>
      </c>
      <c r="E7" s="84"/>
    </row>
    <row r="8" spans="1:5" x14ac:dyDescent="0.25">
      <c r="A8" s="84"/>
      <c r="B8" s="84"/>
      <c r="C8" s="84"/>
      <c r="D8" s="76">
        <f xml:space="preserve"> COUNTIF(Students!J:J,#REF!)</f>
        <v>0</v>
      </c>
      <c r="E8" s="84"/>
    </row>
    <row r="9" spans="1:5" x14ac:dyDescent="0.25">
      <c r="A9" s="84"/>
      <c r="B9" s="84"/>
      <c r="C9" s="84"/>
      <c r="D9" s="76">
        <f xml:space="preserve"> COUNTIF(Students!J:J,#REF!)</f>
        <v>0</v>
      </c>
      <c r="E9" s="84"/>
    </row>
    <row r="10" spans="1:5" x14ac:dyDescent="0.25">
      <c r="A10" s="84"/>
      <c r="B10" s="84"/>
      <c r="C10" s="84"/>
      <c r="D10" s="76">
        <f xml:space="preserve"> COUNTIF(Students!J:J,#REF!)</f>
        <v>0</v>
      </c>
      <c r="E10" s="84"/>
    </row>
    <row r="11" spans="1:5" x14ac:dyDescent="0.25">
      <c r="A11" s="84"/>
      <c r="B11" s="84"/>
      <c r="C11" s="84"/>
      <c r="D11" s="76">
        <f xml:space="preserve"> COUNTIF(Students!J:J,#REF!)</f>
        <v>0</v>
      </c>
      <c r="E11" s="84"/>
    </row>
    <row r="12" spans="1:5" x14ac:dyDescent="0.25">
      <c r="A12" s="84"/>
      <c r="B12" s="84"/>
      <c r="C12" s="84"/>
      <c r="D12" s="76">
        <f xml:space="preserve"> COUNTIF(Students!J:J,#REF!)</f>
        <v>0</v>
      </c>
      <c r="E12" s="84"/>
    </row>
    <row r="13" spans="1:5" x14ac:dyDescent="0.25">
      <c r="A13" s="84"/>
      <c r="B13" s="84"/>
      <c r="C13" s="84"/>
      <c r="D13" s="76">
        <f xml:space="preserve"> COUNTIF(Students!J:J,#REF!)</f>
        <v>0</v>
      </c>
      <c r="E13" s="84"/>
    </row>
    <row r="14" spans="1:5" x14ac:dyDescent="0.25">
      <c r="A14" s="84"/>
      <c r="B14" s="84"/>
      <c r="C14" s="84"/>
      <c r="D14" s="76">
        <f xml:space="preserve"> COUNTIF(Students!J:J,#REF!)</f>
        <v>0</v>
      </c>
      <c r="E14" s="84"/>
    </row>
    <row r="15" spans="1:5" x14ac:dyDescent="0.25">
      <c r="A15" s="84"/>
      <c r="B15" s="84"/>
      <c r="C15" s="84"/>
      <c r="D15" s="76">
        <f xml:space="preserve"> COUNTIF(Students!J:J,#REF!)</f>
        <v>0</v>
      </c>
      <c r="E15" s="84"/>
    </row>
    <row r="16" spans="1:5" x14ac:dyDescent="0.25">
      <c r="A16" s="84"/>
      <c r="B16" s="84"/>
      <c r="C16" s="84"/>
      <c r="D16" s="76">
        <f xml:space="preserve"> COUNTIF(Students!J:J,#REF!)</f>
        <v>0</v>
      </c>
      <c r="E16" s="84"/>
    </row>
    <row r="17" spans="1:5" x14ac:dyDescent="0.25">
      <c r="A17" s="84"/>
      <c r="B17" s="84"/>
      <c r="C17" s="84"/>
      <c r="D17" s="76">
        <f xml:space="preserve"> COUNTIF(Students!J:J,#REF!)</f>
        <v>0</v>
      </c>
      <c r="E17" s="84"/>
    </row>
    <row r="18" spans="1:5" x14ac:dyDescent="0.25">
      <c r="A18" s="84"/>
      <c r="B18" s="84"/>
      <c r="C18" s="84"/>
      <c r="D18" s="76">
        <f xml:space="preserve"> COUNTIF(Students!J:J,#REF!)</f>
        <v>0</v>
      </c>
      <c r="E18" s="84"/>
    </row>
    <row r="19" spans="1:5" x14ac:dyDescent="0.25">
      <c r="A19" s="84"/>
      <c r="B19" s="84"/>
      <c r="C19" s="84"/>
      <c r="D19" s="76">
        <f xml:space="preserve"> COUNTIF(Students!J:J,#REF!)</f>
        <v>0</v>
      </c>
      <c r="E19" s="84"/>
    </row>
    <row r="20" spans="1:5" x14ac:dyDescent="0.25">
      <c r="A20" s="84"/>
      <c r="B20" s="84"/>
      <c r="C20" s="84"/>
      <c r="D20" s="76">
        <f xml:space="preserve"> COUNTIF(Students!J:J,#REF!)</f>
        <v>0</v>
      </c>
      <c r="E20" s="84"/>
    </row>
    <row r="21" spans="1:5" x14ac:dyDescent="0.25">
      <c r="A21" s="84"/>
      <c r="B21" s="84"/>
      <c r="C21" s="84"/>
      <c r="D21" s="76">
        <f xml:space="preserve"> COUNTIF(Students!J:J,#REF!)</f>
        <v>0</v>
      </c>
      <c r="E21" s="84"/>
    </row>
    <row r="22" spans="1:5" x14ac:dyDescent="0.25">
      <c r="A22" s="84"/>
      <c r="B22" s="84"/>
      <c r="C22" s="84"/>
      <c r="D22" s="76">
        <f xml:space="preserve"> COUNTIF(Students!J:J,#REF!)</f>
        <v>0</v>
      </c>
      <c r="E22" s="84"/>
    </row>
    <row r="23" spans="1:5" x14ac:dyDescent="0.25">
      <c r="A23" s="84"/>
      <c r="B23" s="84"/>
      <c r="C23" s="84"/>
      <c r="D23" s="76">
        <f xml:space="preserve"> COUNTIF(Students!J:J,#REF!)</f>
        <v>0</v>
      </c>
      <c r="E23" s="84"/>
    </row>
    <row r="24" spans="1:5" x14ac:dyDescent="0.25">
      <c r="A24" s="84"/>
      <c r="B24" s="84"/>
      <c r="C24" s="84"/>
      <c r="D24" s="76">
        <f xml:space="preserve"> COUNTIF(Students!J:J,#REF!)</f>
        <v>0</v>
      </c>
      <c r="E24" s="84"/>
    </row>
    <row r="25" spans="1:5" x14ac:dyDescent="0.25">
      <c r="A25" s="84"/>
      <c r="B25" s="84"/>
      <c r="C25" s="84"/>
      <c r="D25" s="76">
        <f xml:space="preserve"> COUNTIF(Students!J:J,#REF!)</f>
        <v>0</v>
      </c>
      <c r="E25" s="84"/>
    </row>
    <row r="26" spans="1:5" x14ac:dyDescent="0.25">
      <c r="A26" s="84"/>
      <c r="B26" s="84"/>
      <c r="C26" s="84"/>
      <c r="D26" s="76">
        <f xml:space="preserve"> COUNTIF(Students!J:J,#REF!)</f>
        <v>0</v>
      </c>
      <c r="E26" s="84"/>
    </row>
    <row r="27" spans="1:5" x14ac:dyDescent="0.25">
      <c r="A27" s="84"/>
      <c r="B27" s="84"/>
      <c r="C27" s="84"/>
      <c r="D27" s="76">
        <f xml:space="preserve"> COUNTIF(Students!J:J,#REF!)</f>
        <v>0</v>
      </c>
      <c r="E27" s="84"/>
    </row>
    <row r="28" spans="1:5" x14ac:dyDescent="0.25">
      <c r="A28" s="84"/>
      <c r="B28" s="84"/>
      <c r="C28" s="84"/>
      <c r="D28" s="76">
        <f xml:space="preserve"> COUNTIF(Students!J:J,#REF!)</f>
        <v>0</v>
      </c>
      <c r="E28" s="84"/>
    </row>
    <row r="29" spans="1:5" x14ac:dyDescent="0.25">
      <c r="A29" s="84"/>
      <c r="B29" s="84"/>
      <c r="C29" s="84"/>
      <c r="D29" s="76">
        <f xml:space="preserve"> COUNTIF(Students!J:J,#REF!)</f>
        <v>0</v>
      </c>
      <c r="E29" s="84"/>
    </row>
    <row r="30" spans="1:5" x14ac:dyDescent="0.25">
      <c r="A30" s="84"/>
      <c r="B30" s="84"/>
      <c r="C30" s="84"/>
      <c r="D30" s="76">
        <f xml:space="preserve"> COUNTIF(Students!J:J,#REF!)</f>
        <v>0</v>
      </c>
      <c r="E30" s="84"/>
    </row>
    <row r="31" spans="1:5" x14ac:dyDescent="0.25">
      <c r="A31" s="84"/>
      <c r="B31" s="84"/>
      <c r="C31" s="84"/>
      <c r="D31" s="76">
        <f xml:space="preserve"> COUNTIF(Students!J:J,#REF!)</f>
        <v>0</v>
      </c>
      <c r="E31" s="84"/>
    </row>
    <row r="32" spans="1:5" x14ac:dyDescent="0.25">
      <c r="A32" s="84"/>
      <c r="B32" s="84"/>
      <c r="C32" s="84"/>
      <c r="D32" s="76">
        <f xml:space="preserve"> COUNTIF(Students!J:J,#REF!)</f>
        <v>0</v>
      </c>
      <c r="E32" s="84"/>
    </row>
    <row r="33" spans="1:5" x14ac:dyDescent="0.25">
      <c r="A33" s="84"/>
      <c r="B33" s="84"/>
      <c r="C33" s="84"/>
      <c r="D33" s="76">
        <f xml:space="preserve"> COUNTIF(Students!J:J,#REF!)</f>
        <v>0</v>
      </c>
      <c r="E33" s="84"/>
    </row>
    <row r="34" spans="1:5" x14ac:dyDescent="0.25">
      <c r="A34" s="84"/>
      <c r="B34" s="84"/>
      <c r="C34" s="84"/>
      <c r="D34" s="76">
        <f xml:space="preserve"> COUNTIF(Students!J:J,#REF!)</f>
        <v>0</v>
      </c>
      <c r="E34" s="84"/>
    </row>
    <row r="35" spans="1:5" x14ac:dyDescent="0.25">
      <c r="A35" s="84"/>
      <c r="B35" s="84"/>
      <c r="C35" s="84"/>
      <c r="D35" s="76">
        <f xml:space="preserve"> COUNTIF(Students!J:J,#REF!)</f>
        <v>0</v>
      </c>
      <c r="E35" s="84"/>
    </row>
    <row r="36" spans="1:5" x14ac:dyDescent="0.25">
      <c r="A36" s="84"/>
      <c r="B36" s="84"/>
      <c r="C36" s="84"/>
      <c r="D36" s="76">
        <f xml:space="preserve"> COUNTIF(Students!J:J,#REF!)</f>
        <v>0</v>
      </c>
      <c r="E36" s="84"/>
    </row>
    <row r="37" spans="1:5" x14ac:dyDescent="0.25">
      <c r="A37" s="84"/>
      <c r="B37" s="84"/>
      <c r="C37" s="84"/>
      <c r="D37" s="76">
        <f xml:space="preserve"> COUNTIF(Students!J:J,#REF!)</f>
        <v>0</v>
      </c>
      <c r="E37" s="84"/>
    </row>
    <row r="38" spans="1:5" x14ac:dyDescent="0.25">
      <c r="A38" s="84"/>
      <c r="B38" s="84"/>
      <c r="C38" s="84"/>
      <c r="D38" s="76">
        <f xml:space="preserve"> COUNTIF(Students!J:J,#REF!)</f>
        <v>0</v>
      </c>
      <c r="E38" s="84"/>
    </row>
    <row r="39" spans="1:5" x14ac:dyDescent="0.25">
      <c r="A39" s="84"/>
      <c r="B39" s="84"/>
      <c r="C39" s="84"/>
      <c r="D39" s="76">
        <f xml:space="preserve"> COUNTIF(Students!J:J,#REF!)</f>
        <v>0</v>
      </c>
      <c r="E39" s="84"/>
    </row>
    <row r="40" spans="1:5" x14ac:dyDescent="0.25">
      <c r="A40" s="84"/>
      <c r="B40" s="84"/>
      <c r="C40" s="84"/>
      <c r="D40" s="76">
        <f xml:space="preserve"> COUNTIF(Students!J:J,#REF!)</f>
        <v>0</v>
      </c>
      <c r="E40" s="84"/>
    </row>
    <row r="41" spans="1:5" x14ac:dyDescent="0.25">
      <c r="A41" s="84"/>
      <c r="B41" s="84"/>
      <c r="C41" s="84"/>
      <c r="D41" s="76">
        <f xml:space="preserve"> COUNTIF(Students!J:J,#REF!)</f>
        <v>0</v>
      </c>
      <c r="E41" s="84"/>
    </row>
    <row r="42" spans="1:5" x14ac:dyDescent="0.25">
      <c r="A42" s="84"/>
      <c r="B42" s="84"/>
      <c r="C42" s="84"/>
      <c r="D42" s="76">
        <f xml:space="preserve"> COUNTIF(Students!J:J,#REF!)</f>
        <v>0</v>
      </c>
      <c r="E42" s="84"/>
    </row>
    <row r="43" spans="1:5" x14ac:dyDescent="0.25">
      <c r="A43" s="84"/>
      <c r="B43" s="84"/>
      <c r="C43" s="84"/>
      <c r="D43" s="76">
        <f xml:space="preserve"> COUNTIF(Students!J:J,#REF!)</f>
        <v>0</v>
      </c>
      <c r="E43" s="84"/>
    </row>
    <row r="44" spans="1:5" x14ac:dyDescent="0.25">
      <c r="A44" s="84"/>
      <c r="B44" s="84"/>
      <c r="C44" s="84"/>
      <c r="D44" s="76">
        <f xml:space="preserve"> COUNTIF(Students!J:J,#REF!)</f>
        <v>0</v>
      </c>
      <c r="E44" s="84"/>
    </row>
    <row r="45" spans="1:5" x14ac:dyDescent="0.25">
      <c r="A45" s="84"/>
      <c r="B45" s="84"/>
      <c r="C45" s="84"/>
      <c r="D45" s="76">
        <f xml:space="preserve"> COUNTIF(Students!J:J,#REF!)</f>
        <v>0</v>
      </c>
      <c r="E45" s="84"/>
    </row>
    <row r="46" spans="1:5" x14ac:dyDescent="0.25">
      <c r="A46" s="84"/>
      <c r="B46" s="84"/>
      <c r="C46" s="84"/>
      <c r="D46" s="76">
        <f xml:space="preserve"> COUNTIF(Students!J:J,#REF!)</f>
        <v>0</v>
      </c>
      <c r="E46" s="84"/>
    </row>
    <row r="47" spans="1:5" x14ac:dyDescent="0.25">
      <c r="A47" s="84"/>
      <c r="B47" s="84"/>
      <c r="C47" s="84"/>
      <c r="D47" s="76">
        <f xml:space="preserve"> COUNTIF(Students!J:J,#REF!)</f>
        <v>0</v>
      </c>
      <c r="E47" s="84"/>
    </row>
    <row r="48" spans="1:5" x14ac:dyDescent="0.25">
      <c r="A48" s="84"/>
      <c r="B48" s="84"/>
      <c r="C48" s="84"/>
      <c r="D48" s="76">
        <f xml:space="preserve"> COUNTIF(Students!J:J,#REF!)</f>
        <v>0</v>
      </c>
      <c r="E48" s="84"/>
    </row>
    <row r="49" spans="1:5" x14ac:dyDescent="0.25">
      <c r="A49" s="84"/>
      <c r="B49" s="84"/>
      <c r="C49" s="84"/>
      <c r="D49" s="76">
        <f xml:space="preserve"> COUNTIF(Students!J:J,#REF!)</f>
        <v>0</v>
      </c>
      <c r="E49" s="84"/>
    </row>
    <row r="50" spans="1:5" x14ac:dyDescent="0.25">
      <c r="A50" s="84"/>
      <c r="B50" s="84"/>
      <c r="C50" s="84"/>
      <c r="D50" s="76">
        <f xml:space="preserve"> COUNTIF(Students!J:J,#REF!)</f>
        <v>0</v>
      </c>
      <c r="E50" s="84"/>
    </row>
    <row r="51" spans="1:5" x14ac:dyDescent="0.25">
      <c r="A51" s="84"/>
      <c r="B51" s="84"/>
      <c r="C51" s="84"/>
      <c r="D51" s="76">
        <f xml:space="preserve"> COUNTIF(Students!J:J,#REF!)</f>
        <v>0</v>
      </c>
      <c r="E51" s="84"/>
    </row>
    <row r="52" spans="1:5" x14ac:dyDescent="0.25">
      <c r="A52" s="84"/>
      <c r="B52" s="84"/>
      <c r="C52" s="84"/>
      <c r="D52" s="76">
        <f xml:space="preserve"> COUNTIF(Students!J:J,#REF!)</f>
        <v>0</v>
      </c>
      <c r="E52" s="84"/>
    </row>
    <row r="53" spans="1:5" x14ac:dyDescent="0.25">
      <c r="A53" s="84"/>
      <c r="B53" s="84"/>
      <c r="C53" s="84"/>
      <c r="D53" s="76">
        <f xml:space="preserve"> COUNTIF(Students!J:J,#REF!)</f>
        <v>0</v>
      </c>
      <c r="E53" s="84"/>
    </row>
    <row r="54" spans="1:5" x14ac:dyDescent="0.25">
      <c r="A54" s="84"/>
      <c r="B54" s="84"/>
      <c r="C54" s="84"/>
      <c r="D54" s="76">
        <f xml:space="preserve"> COUNTIF(Students!J:J,#REF!)</f>
        <v>0</v>
      </c>
      <c r="E54" s="84"/>
    </row>
    <row r="55" spans="1:5" x14ac:dyDescent="0.25">
      <c r="A55" s="84"/>
      <c r="B55" s="84"/>
      <c r="C55" s="84"/>
      <c r="D55" s="76">
        <f xml:space="preserve"> COUNTIF(Students!J:J,#REF!)</f>
        <v>0</v>
      </c>
      <c r="E55" s="84"/>
    </row>
    <row r="56" spans="1:5" x14ac:dyDescent="0.25">
      <c r="A56" s="84"/>
      <c r="B56" s="84"/>
      <c r="C56" s="84"/>
      <c r="D56" s="76">
        <f xml:space="preserve"> COUNTIF(Students!J:J,#REF!)</f>
        <v>0</v>
      </c>
      <c r="E56" s="84"/>
    </row>
    <row r="57" spans="1:5" x14ac:dyDescent="0.25">
      <c r="A57" s="84"/>
      <c r="B57" s="84"/>
      <c r="C57" s="84"/>
      <c r="D57" s="76">
        <f xml:space="preserve"> COUNTIF(Students!J:J,#REF!)</f>
        <v>0</v>
      </c>
      <c r="E57" s="84"/>
    </row>
    <row r="58" spans="1:5" x14ac:dyDescent="0.25">
      <c r="A58" s="84"/>
      <c r="B58" s="84"/>
      <c r="C58" s="84"/>
      <c r="D58" s="76">
        <f xml:space="preserve"> COUNTIF(Students!J:J,#REF!)</f>
        <v>0</v>
      </c>
      <c r="E58" s="84"/>
    </row>
    <row r="59" spans="1:5" x14ac:dyDescent="0.25">
      <c r="A59" s="84"/>
      <c r="B59" s="84"/>
      <c r="C59" s="84"/>
      <c r="D59" s="76">
        <f xml:space="preserve"> COUNTIF(Students!J:J,#REF!)</f>
        <v>0</v>
      </c>
      <c r="E59" s="84"/>
    </row>
    <row r="60" spans="1:5" x14ac:dyDescent="0.25">
      <c r="A60" s="84"/>
      <c r="B60" s="84"/>
      <c r="C60" s="84"/>
      <c r="D60" s="76">
        <f xml:space="preserve"> COUNTIF(Students!J:J,#REF!)</f>
        <v>0</v>
      </c>
      <c r="E60" s="84"/>
    </row>
    <row r="61" spans="1:5" x14ac:dyDescent="0.25">
      <c r="A61" s="84"/>
      <c r="B61" s="84"/>
      <c r="C61" s="84"/>
      <c r="D61" s="76">
        <f xml:space="preserve"> COUNTIF(Students!J:J,#REF!)</f>
        <v>0</v>
      </c>
      <c r="E61" s="84"/>
    </row>
    <row r="62" spans="1:5" x14ac:dyDescent="0.25">
      <c r="A62" s="84"/>
      <c r="B62" s="84"/>
      <c r="C62" s="84"/>
      <c r="D62" s="76">
        <f xml:space="preserve"> COUNTIF(Students!J:J,#REF!)</f>
        <v>0</v>
      </c>
      <c r="E62" s="84"/>
    </row>
    <row r="63" spans="1:5" x14ac:dyDescent="0.25">
      <c r="A63" s="84"/>
      <c r="B63" s="84"/>
      <c r="C63" s="84"/>
      <c r="D63" s="76">
        <f xml:space="preserve"> COUNTIF(Students!J:J,#REF!)</f>
        <v>0</v>
      </c>
      <c r="E63" s="84"/>
    </row>
    <row r="64" spans="1:5" x14ac:dyDescent="0.25">
      <c r="A64" s="84"/>
      <c r="B64" s="84"/>
      <c r="C64" s="84"/>
      <c r="D64" s="76">
        <f xml:space="preserve"> COUNTIF(Students!J:J,#REF!)</f>
        <v>0</v>
      </c>
      <c r="E64" s="84"/>
    </row>
    <row r="65" spans="1:5" x14ac:dyDescent="0.25">
      <c r="A65" s="84"/>
      <c r="B65" s="84"/>
      <c r="C65" s="84"/>
      <c r="D65" s="76">
        <f xml:space="preserve"> COUNTIF(Students!J:J,#REF!)</f>
        <v>0</v>
      </c>
      <c r="E65" s="84"/>
    </row>
    <row r="66" spans="1:5" x14ac:dyDescent="0.25">
      <c r="A66" s="84"/>
      <c r="B66" s="84"/>
      <c r="C66" s="84"/>
      <c r="D66" s="76">
        <f xml:space="preserve"> COUNTIF(Students!J:J,#REF!)</f>
        <v>0</v>
      </c>
      <c r="E66" s="84"/>
    </row>
    <row r="67" spans="1:5" x14ac:dyDescent="0.25">
      <c r="A67" s="84"/>
      <c r="B67" s="84"/>
      <c r="C67" s="84"/>
      <c r="D67" s="76">
        <f xml:space="preserve"> COUNTIF(Students!J:J,#REF!)</f>
        <v>0</v>
      </c>
      <c r="E67" s="84"/>
    </row>
    <row r="68" spans="1:5" x14ac:dyDescent="0.25">
      <c r="A68" s="84"/>
      <c r="B68" s="84"/>
      <c r="C68" s="84"/>
      <c r="D68" s="76">
        <f xml:space="preserve"> COUNTIF(Students!J:J,#REF!)</f>
        <v>0</v>
      </c>
      <c r="E68" s="84"/>
    </row>
    <row r="69" spans="1:5" x14ac:dyDescent="0.25">
      <c r="A69" s="84"/>
      <c r="B69" s="84"/>
      <c r="C69" s="84"/>
      <c r="D69" s="76">
        <f xml:space="preserve"> COUNTIF(Students!J:J,#REF!)</f>
        <v>0</v>
      </c>
      <c r="E69" s="84"/>
    </row>
    <row r="70" spans="1:5" x14ac:dyDescent="0.25">
      <c r="A70" s="84"/>
      <c r="B70" s="84"/>
      <c r="C70" s="84"/>
      <c r="D70" s="76">
        <f xml:space="preserve"> COUNTIF(Students!J:J,#REF!)</f>
        <v>0</v>
      </c>
      <c r="E70" s="84"/>
    </row>
    <row r="71" spans="1:5" x14ac:dyDescent="0.25">
      <c r="A71" s="84"/>
      <c r="B71" s="84"/>
      <c r="C71" s="84"/>
      <c r="D71" s="76">
        <f xml:space="preserve"> COUNTIF(Students!J:J,#REF!)</f>
        <v>0</v>
      </c>
      <c r="E71" s="84"/>
    </row>
    <row r="72" spans="1:5" x14ac:dyDescent="0.25">
      <c r="A72" s="84"/>
      <c r="B72" s="84"/>
      <c r="C72" s="84"/>
      <c r="D72" s="76">
        <f xml:space="preserve"> COUNTIF(Students!J:J,#REF!)</f>
        <v>0</v>
      </c>
      <c r="E72" s="84"/>
    </row>
    <row r="73" spans="1:5" x14ac:dyDescent="0.25">
      <c r="A73" s="84"/>
      <c r="B73" s="84"/>
      <c r="C73" s="84"/>
      <c r="D73" s="76">
        <f xml:space="preserve"> COUNTIF(Students!J:J,#REF!)</f>
        <v>0</v>
      </c>
      <c r="E73" s="84"/>
    </row>
    <row r="74" spans="1:5" x14ac:dyDescent="0.25">
      <c r="A74" s="84"/>
      <c r="B74" s="84"/>
      <c r="C74" s="84"/>
      <c r="D74" s="76">
        <f xml:space="preserve"> COUNTIF(Students!J:J,#REF!)</f>
        <v>0</v>
      </c>
      <c r="E74" s="84"/>
    </row>
    <row r="75" spans="1:5" x14ac:dyDescent="0.25">
      <c r="A75" s="84"/>
      <c r="B75" s="84"/>
      <c r="C75" s="84"/>
      <c r="D75" s="76">
        <f xml:space="preserve"> COUNTIF(Students!J:J,#REF!)</f>
        <v>0</v>
      </c>
      <c r="E75" s="84"/>
    </row>
    <row r="76" spans="1:5" x14ac:dyDescent="0.25">
      <c r="A76" s="84"/>
      <c r="B76" s="84"/>
      <c r="C76" s="84"/>
      <c r="D76" s="76">
        <f xml:space="preserve"> COUNTIF(Students!J:J,#REF!)</f>
        <v>0</v>
      </c>
      <c r="E76" s="84"/>
    </row>
    <row r="77" spans="1:5" x14ac:dyDescent="0.25">
      <c r="A77" s="84"/>
      <c r="B77" s="84"/>
      <c r="C77" s="84"/>
      <c r="D77" s="76">
        <f xml:space="preserve"> COUNTIF(Students!J:J,#REF!)</f>
        <v>0</v>
      </c>
      <c r="E77" s="84"/>
    </row>
    <row r="78" spans="1:5" x14ac:dyDescent="0.25">
      <c r="A78" s="84"/>
      <c r="B78" s="84"/>
      <c r="C78" s="84"/>
      <c r="D78" s="76">
        <f xml:space="preserve"> COUNTIF(Students!J:J,#REF!)</f>
        <v>0</v>
      </c>
      <c r="E78" s="84"/>
    </row>
    <row r="79" spans="1:5" x14ac:dyDescent="0.25">
      <c r="A79" s="84"/>
      <c r="B79" s="84"/>
      <c r="C79" s="84"/>
      <c r="D79" s="76">
        <f xml:space="preserve"> COUNTIF(Students!J:J,#REF!)</f>
        <v>0</v>
      </c>
      <c r="E79" s="84"/>
    </row>
    <row r="80" spans="1:5" x14ac:dyDescent="0.25">
      <c r="A80" s="84"/>
      <c r="B80" s="84"/>
      <c r="C80" s="84"/>
      <c r="D80" s="76">
        <f xml:space="preserve"> COUNTIF(Students!J:J,#REF!)</f>
        <v>0</v>
      </c>
      <c r="E80" s="84"/>
    </row>
    <row r="81" spans="1:5" x14ac:dyDescent="0.25">
      <c r="A81" s="84"/>
      <c r="B81" s="84"/>
      <c r="C81" s="84"/>
      <c r="D81" s="76">
        <f xml:space="preserve"> COUNTIF(Students!J:J,#REF!)</f>
        <v>0</v>
      </c>
      <c r="E81" s="84"/>
    </row>
    <row r="82" spans="1:5" x14ac:dyDescent="0.25">
      <c r="A82" s="84"/>
      <c r="B82" s="84"/>
      <c r="C82" s="84"/>
      <c r="D82" s="76">
        <f xml:space="preserve"> COUNTIF(Students!J:J,#REF!)</f>
        <v>0</v>
      </c>
      <c r="E82" s="84"/>
    </row>
    <row r="83" spans="1:5" x14ac:dyDescent="0.25">
      <c r="A83" s="84"/>
      <c r="B83" s="84"/>
      <c r="C83" s="84"/>
      <c r="D83" s="76">
        <f xml:space="preserve"> COUNTIF(Students!J:J,#REF!)</f>
        <v>0</v>
      </c>
      <c r="E83" s="84"/>
    </row>
    <row r="84" spans="1:5" x14ac:dyDescent="0.25">
      <c r="A84" s="84"/>
      <c r="B84" s="84"/>
      <c r="C84" s="84"/>
      <c r="D84" s="76">
        <f xml:space="preserve"> COUNTIF(Students!J:J,#REF!)</f>
        <v>0</v>
      </c>
      <c r="E84" s="84"/>
    </row>
    <row r="85" spans="1:5" x14ac:dyDescent="0.25">
      <c r="A85" s="84"/>
      <c r="B85" s="84"/>
      <c r="C85" s="84"/>
      <c r="D85" s="76">
        <f xml:space="preserve"> COUNTIF(Students!J:J,#REF!)</f>
        <v>0</v>
      </c>
      <c r="E85" s="84"/>
    </row>
    <row r="86" spans="1:5" x14ac:dyDescent="0.25">
      <c r="A86" s="84"/>
      <c r="B86" s="84"/>
      <c r="C86" s="84"/>
      <c r="D86" s="76">
        <f xml:space="preserve"> COUNTIF(Students!J:J,#REF!)</f>
        <v>0</v>
      </c>
      <c r="E86" s="84"/>
    </row>
    <row r="87" spans="1:5" x14ac:dyDescent="0.25">
      <c r="A87" s="84"/>
      <c r="B87" s="84"/>
      <c r="C87" s="84"/>
      <c r="D87" s="76">
        <f xml:space="preserve"> COUNTIF(Students!J:J,#REF!)</f>
        <v>0</v>
      </c>
      <c r="E87" s="84"/>
    </row>
    <row r="88" spans="1:5" x14ac:dyDescent="0.25">
      <c r="A88" s="84"/>
      <c r="B88" s="84"/>
      <c r="C88" s="84"/>
      <c r="D88" s="76">
        <f xml:space="preserve"> COUNTIF(Students!J:J,#REF!)</f>
        <v>0</v>
      </c>
      <c r="E88" s="84"/>
    </row>
    <row r="89" spans="1:5" x14ac:dyDescent="0.25">
      <c r="A89" s="84"/>
      <c r="B89" s="84"/>
      <c r="C89" s="84"/>
      <c r="D89" s="76">
        <f xml:space="preserve"> COUNTIF(Students!J:J,#REF!)</f>
        <v>0</v>
      </c>
      <c r="E89" s="84"/>
    </row>
    <row r="90" spans="1:5" x14ac:dyDescent="0.25">
      <c r="A90" s="84"/>
      <c r="B90" s="84"/>
      <c r="C90" s="84"/>
      <c r="D90" s="76">
        <f xml:space="preserve"> COUNTIF(Students!J:J,#REF!)</f>
        <v>0</v>
      </c>
      <c r="E90" s="84"/>
    </row>
    <row r="91" spans="1:5" x14ac:dyDescent="0.25">
      <c r="A91" s="84"/>
      <c r="B91" s="84"/>
      <c r="C91" s="84"/>
      <c r="D91" s="76">
        <f xml:space="preserve"> COUNTIF(Students!J:J,#REF!)</f>
        <v>0</v>
      </c>
      <c r="E91" s="84"/>
    </row>
    <row r="92" spans="1:5" x14ac:dyDescent="0.25">
      <c r="A92" s="84"/>
      <c r="B92" s="84"/>
      <c r="C92" s="84"/>
      <c r="D92" s="76">
        <f xml:space="preserve"> COUNTIF(Students!J:J,#REF!)</f>
        <v>0</v>
      </c>
      <c r="E92" s="84"/>
    </row>
    <row r="93" spans="1:5" x14ac:dyDescent="0.25">
      <c r="A93" s="84"/>
      <c r="B93" s="84"/>
      <c r="C93" s="84"/>
      <c r="D93" s="76">
        <f xml:space="preserve"> COUNTIF(Students!J:J,#REF!)</f>
        <v>0</v>
      </c>
      <c r="E93" s="84"/>
    </row>
    <row r="94" spans="1:5" x14ac:dyDescent="0.25">
      <c r="A94" s="84"/>
      <c r="B94" s="84"/>
      <c r="C94" s="84"/>
      <c r="D94" s="76">
        <f xml:space="preserve"> COUNTIF(Students!J:J,#REF!)</f>
        <v>0</v>
      </c>
      <c r="E94" s="84"/>
    </row>
    <row r="95" spans="1:5" x14ac:dyDescent="0.25">
      <c r="A95" s="84"/>
      <c r="B95" s="84"/>
      <c r="C95" s="84"/>
      <c r="D95" s="76">
        <f xml:space="preserve"> COUNTIF(Students!J:J,#REF!)</f>
        <v>0</v>
      </c>
      <c r="E95" s="84"/>
    </row>
    <row r="96" spans="1:5" x14ac:dyDescent="0.25">
      <c r="A96" s="84"/>
      <c r="B96" s="84"/>
      <c r="C96" s="84"/>
      <c r="D96" s="76">
        <f xml:space="preserve"> COUNTIF(Students!J:J,#REF!)</f>
        <v>0</v>
      </c>
      <c r="E96" s="84"/>
    </row>
    <row r="97" spans="1:5" x14ac:dyDescent="0.25">
      <c r="A97" s="84"/>
      <c r="B97" s="84"/>
      <c r="C97" s="84"/>
      <c r="D97" s="76">
        <f xml:space="preserve"> COUNTIF(Students!J:J,#REF!)</f>
        <v>0</v>
      </c>
      <c r="E97" s="84"/>
    </row>
    <row r="98" spans="1:5" x14ac:dyDescent="0.25">
      <c r="A98" s="84"/>
      <c r="B98" s="84"/>
      <c r="C98" s="84"/>
      <c r="D98" s="76">
        <f xml:space="preserve"> COUNTIF(Students!J:J,#REF!)</f>
        <v>0</v>
      </c>
      <c r="E98" s="84"/>
    </row>
    <row r="99" spans="1:5" x14ac:dyDescent="0.25">
      <c r="A99" s="84"/>
      <c r="B99" s="84"/>
      <c r="C99" s="84"/>
      <c r="D99" s="76">
        <f xml:space="preserve"> COUNTIF(Students!J:J,#REF!)</f>
        <v>0</v>
      </c>
      <c r="E99" s="84"/>
    </row>
    <row r="100" spans="1:5" x14ac:dyDescent="0.25">
      <c r="A100" s="84"/>
      <c r="B100" s="84"/>
      <c r="C100" s="84"/>
      <c r="D100" s="76">
        <f xml:space="preserve"> COUNTIF(Students!J:J,#REF!)</f>
        <v>0</v>
      </c>
      <c r="E100" s="84"/>
    </row>
    <row r="101" spans="1:5" x14ac:dyDescent="0.25">
      <c r="A101" s="84"/>
      <c r="B101" s="84"/>
      <c r="C101" s="84"/>
      <c r="D101" s="76">
        <f xml:space="preserve"> COUNTIF(Students!J:J,#REF!)</f>
        <v>0</v>
      </c>
      <c r="E101" s="84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B604-FF9A-4E41-B4BB-311C82B70553}">
  <dimension ref="A1:M101"/>
  <sheetViews>
    <sheetView workbookViewId="0">
      <selection activeCell="A2" sqref="A2"/>
    </sheetView>
  </sheetViews>
  <sheetFormatPr defaultRowHeight="15" x14ac:dyDescent="0.25"/>
  <cols>
    <col min="1" max="1" width="12.42578125" style="81" customWidth="1"/>
    <col min="2" max="2" width="18.5703125" bestFit="1" customWidth="1"/>
    <col min="4" max="4" width="12" style="81" customWidth="1"/>
    <col min="5" max="5" width="15.42578125" customWidth="1"/>
    <col min="6" max="6" width="9.140625" style="81"/>
    <col min="7" max="9" width="12.140625" style="81" customWidth="1"/>
    <col min="10" max="10" width="13.140625" style="81" customWidth="1"/>
  </cols>
  <sheetData>
    <row r="1" spans="1:13" x14ac:dyDescent="0.25">
      <c r="A1" s="81" t="s">
        <v>195</v>
      </c>
      <c r="B1" t="s">
        <v>191</v>
      </c>
      <c r="C1" t="s">
        <v>5</v>
      </c>
      <c r="D1" s="81" t="s">
        <v>196</v>
      </c>
      <c r="E1" t="s">
        <v>197</v>
      </c>
      <c r="F1" s="81" t="s">
        <v>16</v>
      </c>
      <c r="G1" s="81" t="s">
        <v>199</v>
      </c>
      <c r="H1" s="81" t="s">
        <v>200</v>
      </c>
      <c r="I1" s="81" t="s">
        <v>46</v>
      </c>
      <c r="J1" s="81" t="s">
        <v>198</v>
      </c>
      <c r="K1" t="s">
        <v>48</v>
      </c>
      <c r="L1" t="s">
        <v>17</v>
      </c>
      <c r="M1" t="s">
        <v>75</v>
      </c>
    </row>
    <row r="2" spans="1:13" x14ac:dyDescent="0.25">
      <c r="A2" s="84">
        <v>1</v>
      </c>
      <c r="B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>Ojo Josiah Muyiwa</v>
      </c>
      <c r="C2" s="76" t="str">
        <f>_xlfn.XLOOKUP(Brushsheet[[#This Row],[Student ID]],Students!A:A,Students!J:J)</f>
        <v>JSS1</v>
      </c>
      <c r="D2" s="84" t="s">
        <v>84</v>
      </c>
      <c r="E2" s="76" t="str">
        <f>_xlfn.XLOOKUP(Brushsheet[[#This Row],[Subject ID]],Subjects!A:A,Subjects!B:B)</f>
        <v>Mathematics</v>
      </c>
      <c r="F2" s="84" t="s">
        <v>190</v>
      </c>
      <c r="G2" s="84">
        <v>12</v>
      </c>
      <c r="H2" s="84">
        <v>13</v>
      </c>
      <c r="I2" s="84">
        <v>8</v>
      </c>
      <c r="J2" s="84">
        <v>53</v>
      </c>
      <c r="K2" s="76">
        <f>SUM(Brushsheet[[#This Row],[1st CA]:[Exam Score]])</f>
        <v>86</v>
      </c>
      <c r="L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A</v>
      </c>
      <c r="M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Excellent</v>
      </c>
    </row>
    <row r="3" spans="1:13" x14ac:dyDescent="0.25">
      <c r="A3" s="84">
        <v>1</v>
      </c>
      <c r="B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>Ojo Josiah Muyiwa</v>
      </c>
      <c r="C3" s="76" t="str">
        <f>_xlfn.XLOOKUP(Brushsheet[[#This Row],[Student ID]],Students!A:A,Students!J:J)</f>
        <v>JSS1</v>
      </c>
      <c r="D3" s="84" t="s">
        <v>201</v>
      </c>
      <c r="E3" s="76" t="str">
        <f>_xlfn.XLOOKUP(Brushsheet[[#This Row],[Subject ID]],Subjects!A:A,Subjects!B:B)</f>
        <v>English</v>
      </c>
      <c r="F3" s="84" t="s">
        <v>190</v>
      </c>
      <c r="G3" s="84">
        <v>3</v>
      </c>
      <c r="H3" s="84">
        <v>12</v>
      </c>
      <c r="I3" s="84">
        <v>5</v>
      </c>
      <c r="J3" s="84">
        <v>48</v>
      </c>
      <c r="K3" s="76">
        <f>SUM(Brushsheet[[#This Row],[1st CA]:[Exam Score]])</f>
        <v>68</v>
      </c>
      <c r="L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B</v>
      </c>
      <c r="M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V.Good</v>
      </c>
    </row>
    <row r="4" spans="1:13" x14ac:dyDescent="0.25">
      <c r="A4" s="84">
        <v>1</v>
      </c>
      <c r="B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>Ojo Josiah Muyiwa</v>
      </c>
      <c r="C4" s="76" t="str">
        <f>_xlfn.XLOOKUP(Brushsheet[[#This Row],[Student ID]],Students!A:A,Students!J:J)</f>
        <v>JSS1</v>
      </c>
      <c r="D4" s="84" t="s">
        <v>230</v>
      </c>
      <c r="E4" s="76" t="str">
        <f>_xlfn.XLOOKUP(Brushsheet[[#This Row],[Subject ID]],Subjects!A:A,Subjects!B:B)</f>
        <v>Science</v>
      </c>
      <c r="F4" s="84" t="s">
        <v>190</v>
      </c>
      <c r="G4" s="84">
        <v>6</v>
      </c>
      <c r="H4" s="84">
        <v>8</v>
      </c>
      <c r="I4" s="84">
        <v>2</v>
      </c>
      <c r="J4" s="84">
        <v>36</v>
      </c>
      <c r="K4" s="76">
        <f>SUM(Brushsheet[[#This Row],[1st CA]:[Exam Score]])</f>
        <v>52</v>
      </c>
      <c r="L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C</v>
      </c>
      <c r="M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Good</v>
      </c>
    </row>
    <row r="5" spans="1:13" x14ac:dyDescent="0.25">
      <c r="A5" s="84">
        <v>1</v>
      </c>
      <c r="B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>Ojo Josiah Muyiwa</v>
      </c>
      <c r="C5" s="76" t="str">
        <f>_xlfn.XLOOKUP(Brushsheet[[#This Row],[Student ID]],Students!A:A,Students!J:J)</f>
        <v>JSS1</v>
      </c>
      <c r="D5" s="84" t="s">
        <v>237</v>
      </c>
      <c r="E5" s="76" t="str">
        <f>_xlfn.XLOOKUP(Brushsheet[[#This Row],[Subject ID]],Subjects!A:A,Subjects!B:B)</f>
        <v>Computer</v>
      </c>
      <c r="F5" s="84" t="s">
        <v>190</v>
      </c>
      <c r="G5" s="84">
        <v>5</v>
      </c>
      <c r="H5" s="84">
        <v>8</v>
      </c>
      <c r="I5" s="84">
        <v>3</v>
      </c>
      <c r="J5" s="84">
        <v>25</v>
      </c>
      <c r="K5" s="76">
        <f>SUM(Brushsheet[[#This Row],[1st CA]:[Exam Score]])</f>
        <v>41</v>
      </c>
      <c r="L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E</v>
      </c>
      <c r="M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Pass</v>
      </c>
    </row>
    <row r="6" spans="1:13" x14ac:dyDescent="0.25">
      <c r="A6" s="84">
        <v>1</v>
      </c>
      <c r="B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>Ojo Josiah Muyiwa</v>
      </c>
      <c r="C6" s="76" t="str">
        <f>_xlfn.XLOOKUP(Brushsheet[[#This Row],[Student ID]],Students!A:A,Students!J:J)</f>
        <v>JSS1</v>
      </c>
      <c r="D6" s="84" t="s">
        <v>240</v>
      </c>
      <c r="E6" s="76" t="str">
        <f>_xlfn.XLOOKUP(Brushsheet[[#This Row],[Subject ID]],Subjects!A:A,Subjects!B:B)</f>
        <v>Music</v>
      </c>
      <c r="F6" s="84" t="s">
        <v>190</v>
      </c>
      <c r="G6" s="84">
        <v>15</v>
      </c>
      <c r="H6" s="84">
        <v>15</v>
      </c>
      <c r="I6" s="84">
        <v>10</v>
      </c>
      <c r="J6" s="84">
        <v>30</v>
      </c>
      <c r="K6" s="76">
        <f>SUM(Brushsheet[[#This Row],[1st CA]:[Exam Score]])</f>
        <v>70</v>
      </c>
      <c r="L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A</v>
      </c>
      <c r="M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Excellent</v>
      </c>
    </row>
    <row r="7" spans="1:13" x14ac:dyDescent="0.25">
      <c r="A7" s="84"/>
      <c r="B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" s="76">
        <f>_xlfn.XLOOKUP(Brushsheet[[#This Row],[Student ID]],Students!A:A,Students!J:J)</f>
        <v>0</v>
      </c>
      <c r="D7" s="84"/>
      <c r="E7" s="76">
        <f>_xlfn.XLOOKUP(Brushsheet[[#This Row],[Subject ID]],Subjects!A:A,Subjects!B:B)</f>
        <v>0</v>
      </c>
      <c r="F7" s="84"/>
      <c r="G7" s="84"/>
      <c r="H7" s="84"/>
      <c r="I7" s="84"/>
      <c r="J7" s="84"/>
      <c r="K7" s="76">
        <f>SUM(Brushsheet[[#This Row],[1st CA]:[Exam Score]])</f>
        <v>0</v>
      </c>
      <c r="L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" spans="1:13" x14ac:dyDescent="0.25">
      <c r="A8" s="84"/>
      <c r="B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" s="76">
        <f>_xlfn.XLOOKUP(Brushsheet[[#This Row],[Student ID]],Students!A:A,Students!J:J)</f>
        <v>0</v>
      </c>
      <c r="D8" s="84"/>
      <c r="E8" s="76">
        <f>_xlfn.XLOOKUP(Brushsheet[[#This Row],[Subject ID]],Subjects!A:A,Subjects!B:B)</f>
        <v>0</v>
      </c>
      <c r="F8" s="84"/>
      <c r="G8" s="84"/>
      <c r="H8" s="84"/>
      <c r="I8" s="84"/>
      <c r="J8" s="84"/>
      <c r="K8" s="76">
        <f>SUM(Brushsheet[[#This Row],[1st CA]:[Exam Score]])</f>
        <v>0</v>
      </c>
      <c r="L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" spans="1:13" x14ac:dyDescent="0.25">
      <c r="A9" s="84"/>
      <c r="B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" s="76">
        <f>_xlfn.XLOOKUP(Brushsheet[[#This Row],[Student ID]],Students!A:A,Students!J:J)</f>
        <v>0</v>
      </c>
      <c r="D9" s="84"/>
      <c r="E9" s="76">
        <f>_xlfn.XLOOKUP(Brushsheet[[#This Row],[Subject ID]],Subjects!A:A,Subjects!B:B)</f>
        <v>0</v>
      </c>
      <c r="F9" s="84"/>
      <c r="G9" s="84"/>
      <c r="H9" s="84"/>
      <c r="I9" s="84"/>
      <c r="J9" s="84"/>
      <c r="K9" s="76">
        <f>SUM(Brushsheet[[#This Row],[1st CA]:[Exam Score]])</f>
        <v>0</v>
      </c>
      <c r="L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0" spans="1:13" x14ac:dyDescent="0.25">
      <c r="A10" s="84"/>
      <c r="B1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0" s="76">
        <f>_xlfn.XLOOKUP(Brushsheet[[#This Row],[Student ID]],Students!A:A,Students!J:J)</f>
        <v>0</v>
      </c>
      <c r="D10" s="84"/>
      <c r="E10" s="76">
        <f>_xlfn.XLOOKUP(Brushsheet[[#This Row],[Subject ID]],Subjects!A:A,Subjects!B:B)</f>
        <v>0</v>
      </c>
      <c r="F10" s="84"/>
      <c r="G10" s="84"/>
      <c r="H10" s="84"/>
      <c r="I10" s="84"/>
      <c r="J10" s="84"/>
      <c r="K10" s="76">
        <f>SUM(Brushsheet[[#This Row],[1st CA]:[Exam Score]])</f>
        <v>0</v>
      </c>
      <c r="L1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1" spans="1:13" x14ac:dyDescent="0.25">
      <c r="A11" s="84"/>
      <c r="B1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1" s="76">
        <f>_xlfn.XLOOKUP(Brushsheet[[#This Row],[Student ID]],Students!A:A,Students!J:J)</f>
        <v>0</v>
      </c>
      <c r="D11" s="84"/>
      <c r="E11" s="76">
        <f>_xlfn.XLOOKUP(Brushsheet[[#This Row],[Subject ID]],Subjects!A:A,Subjects!B:B)</f>
        <v>0</v>
      </c>
      <c r="F11" s="84"/>
      <c r="G11" s="84"/>
      <c r="H11" s="84"/>
      <c r="I11" s="84"/>
      <c r="J11" s="84"/>
      <c r="K11" s="76">
        <f>SUM(Brushsheet[[#This Row],[1st CA]:[Exam Score]])</f>
        <v>0</v>
      </c>
      <c r="L1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2" spans="1:13" x14ac:dyDescent="0.25">
      <c r="A12" s="84"/>
      <c r="B1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2" s="76">
        <f>_xlfn.XLOOKUP(Brushsheet[[#This Row],[Student ID]],Students!A:A,Students!J:J)</f>
        <v>0</v>
      </c>
      <c r="D12" s="84"/>
      <c r="E12" s="76">
        <f>_xlfn.XLOOKUP(Brushsheet[[#This Row],[Subject ID]],Subjects!A:A,Subjects!B:B)</f>
        <v>0</v>
      </c>
      <c r="F12" s="84"/>
      <c r="G12" s="84"/>
      <c r="H12" s="84"/>
      <c r="I12" s="84"/>
      <c r="J12" s="84"/>
      <c r="K12" s="76">
        <f>SUM(Brushsheet[[#This Row],[1st CA]:[Exam Score]])</f>
        <v>0</v>
      </c>
      <c r="L1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3" spans="1:13" x14ac:dyDescent="0.25">
      <c r="A13" s="84"/>
      <c r="B1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3" s="76">
        <f>_xlfn.XLOOKUP(Brushsheet[[#This Row],[Student ID]],Students!A:A,Students!J:J)</f>
        <v>0</v>
      </c>
      <c r="D13" s="84"/>
      <c r="E13" s="76">
        <f>_xlfn.XLOOKUP(Brushsheet[[#This Row],[Subject ID]],Subjects!A:A,Subjects!B:B)</f>
        <v>0</v>
      </c>
      <c r="F13" s="84"/>
      <c r="G13" s="84"/>
      <c r="H13" s="84"/>
      <c r="I13" s="84"/>
      <c r="J13" s="84"/>
      <c r="K13" s="76">
        <f>SUM(Brushsheet[[#This Row],[1st CA]:[Exam Score]])</f>
        <v>0</v>
      </c>
      <c r="L1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4" spans="1:13" x14ac:dyDescent="0.25">
      <c r="A14" s="84"/>
      <c r="B1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4" s="76">
        <f>_xlfn.XLOOKUP(Brushsheet[[#This Row],[Student ID]],Students!A:A,Students!J:J)</f>
        <v>0</v>
      </c>
      <c r="D14" s="84"/>
      <c r="E14" s="76">
        <f>_xlfn.XLOOKUP(Brushsheet[[#This Row],[Subject ID]],Subjects!A:A,Subjects!B:B)</f>
        <v>0</v>
      </c>
      <c r="F14" s="84"/>
      <c r="G14" s="84"/>
      <c r="H14" s="84"/>
      <c r="I14" s="84"/>
      <c r="J14" s="84"/>
      <c r="K14" s="76">
        <f>SUM(Brushsheet[[#This Row],[1st CA]:[Exam Score]])</f>
        <v>0</v>
      </c>
      <c r="L1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5" spans="1:13" x14ac:dyDescent="0.25">
      <c r="A15" s="84"/>
      <c r="B1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5" s="76">
        <f>_xlfn.XLOOKUP(Brushsheet[[#This Row],[Student ID]],Students!A:A,Students!J:J)</f>
        <v>0</v>
      </c>
      <c r="D15" s="84"/>
      <c r="E15" s="76">
        <f>_xlfn.XLOOKUP(Brushsheet[[#This Row],[Subject ID]],Subjects!A:A,Subjects!B:B)</f>
        <v>0</v>
      </c>
      <c r="F15" s="84"/>
      <c r="G15" s="84"/>
      <c r="H15" s="84"/>
      <c r="I15" s="84"/>
      <c r="J15" s="84"/>
      <c r="K15" s="76">
        <f>SUM(Brushsheet[[#This Row],[1st CA]:[Exam Score]])</f>
        <v>0</v>
      </c>
      <c r="L1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6" spans="1:13" x14ac:dyDescent="0.25">
      <c r="A16" s="84"/>
      <c r="B1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6" s="76">
        <f>_xlfn.XLOOKUP(Brushsheet[[#This Row],[Student ID]],Students!A:A,Students!J:J)</f>
        <v>0</v>
      </c>
      <c r="D16" s="84"/>
      <c r="E16" s="76">
        <f>_xlfn.XLOOKUP(Brushsheet[[#This Row],[Subject ID]],Subjects!A:A,Subjects!B:B)</f>
        <v>0</v>
      </c>
      <c r="F16" s="84"/>
      <c r="G16" s="84"/>
      <c r="H16" s="84"/>
      <c r="I16" s="84"/>
      <c r="J16" s="84"/>
      <c r="K16" s="76">
        <f>SUM(Brushsheet[[#This Row],[1st CA]:[Exam Score]])</f>
        <v>0</v>
      </c>
      <c r="L1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7" spans="1:13" x14ac:dyDescent="0.25">
      <c r="A17" s="84"/>
      <c r="B1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7" s="76">
        <f>_xlfn.XLOOKUP(Brushsheet[[#This Row],[Student ID]],Students!A:A,Students!J:J)</f>
        <v>0</v>
      </c>
      <c r="D17" s="84"/>
      <c r="E17" s="76">
        <f>_xlfn.XLOOKUP(Brushsheet[[#This Row],[Subject ID]],Subjects!A:A,Subjects!B:B)</f>
        <v>0</v>
      </c>
      <c r="F17" s="84"/>
      <c r="G17" s="84"/>
      <c r="H17" s="84"/>
      <c r="I17" s="84"/>
      <c r="J17" s="84"/>
      <c r="K17" s="76">
        <f>SUM(Brushsheet[[#This Row],[1st CA]:[Exam Score]])</f>
        <v>0</v>
      </c>
      <c r="L1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8" spans="1:13" x14ac:dyDescent="0.25">
      <c r="A18" s="84"/>
      <c r="B1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8" s="76">
        <f>_xlfn.XLOOKUP(Brushsheet[[#This Row],[Student ID]],Students!A:A,Students!J:J)</f>
        <v>0</v>
      </c>
      <c r="D18" s="84"/>
      <c r="E18" s="76">
        <f>_xlfn.XLOOKUP(Brushsheet[[#This Row],[Subject ID]],Subjects!A:A,Subjects!B:B)</f>
        <v>0</v>
      </c>
      <c r="F18" s="84"/>
      <c r="G18" s="84"/>
      <c r="H18" s="84"/>
      <c r="I18" s="84"/>
      <c r="J18" s="84"/>
      <c r="K18" s="76">
        <f>SUM(Brushsheet[[#This Row],[1st CA]:[Exam Score]])</f>
        <v>0</v>
      </c>
      <c r="L1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9" spans="1:13" x14ac:dyDescent="0.25">
      <c r="A19" s="84"/>
      <c r="B1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9" s="76">
        <f>_xlfn.XLOOKUP(Brushsheet[[#This Row],[Student ID]],Students!A:A,Students!J:J)</f>
        <v>0</v>
      </c>
      <c r="D19" s="84"/>
      <c r="E19" s="76">
        <f>_xlfn.XLOOKUP(Brushsheet[[#This Row],[Subject ID]],Subjects!A:A,Subjects!B:B)</f>
        <v>0</v>
      </c>
      <c r="F19" s="84"/>
      <c r="G19" s="84"/>
      <c r="H19" s="84"/>
      <c r="I19" s="84"/>
      <c r="J19" s="84"/>
      <c r="K19" s="76">
        <f>SUM(Brushsheet[[#This Row],[1st CA]:[Exam Score]])</f>
        <v>0</v>
      </c>
      <c r="L1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0" spans="1:13" x14ac:dyDescent="0.25">
      <c r="A20" s="84"/>
      <c r="B2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0" s="76">
        <f>_xlfn.XLOOKUP(Brushsheet[[#This Row],[Student ID]],Students!A:A,Students!J:J)</f>
        <v>0</v>
      </c>
      <c r="D20" s="84"/>
      <c r="E20" s="76">
        <f>_xlfn.XLOOKUP(Brushsheet[[#This Row],[Subject ID]],Subjects!A:A,Subjects!B:B)</f>
        <v>0</v>
      </c>
      <c r="F20" s="84"/>
      <c r="G20" s="84"/>
      <c r="H20" s="84"/>
      <c r="I20" s="84"/>
      <c r="J20" s="84"/>
      <c r="K20" s="76">
        <f>SUM(Brushsheet[[#This Row],[1st CA]:[Exam Score]])</f>
        <v>0</v>
      </c>
      <c r="L2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1" spans="1:13" x14ac:dyDescent="0.25">
      <c r="A21" s="84"/>
      <c r="B2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1" s="76">
        <f>_xlfn.XLOOKUP(Brushsheet[[#This Row],[Student ID]],Students!A:A,Students!J:J)</f>
        <v>0</v>
      </c>
      <c r="D21" s="84"/>
      <c r="E21" s="76">
        <f>_xlfn.XLOOKUP(Brushsheet[[#This Row],[Subject ID]],Subjects!A:A,Subjects!B:B)</f>
        <v>0</v>
      </c>
      <c r="F21" s="84"/>
      <c r="G21" s="84"/>
      <c r="H21" s="84"/>
      <c r="I21" s="84"/>
      <c r="J21" s="84"/>
      <c r="K21" s="76">
        <f>SUM(Brushsheet[[#This Row],[1st CA]:[Exam Score]])</f>
        <v>0</v>
      </c>
      <c r="L2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2" spans="1:13" x14ac:dyDescent="0.25">
      <c r="A22" s="84"/>
      <c r="B2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2" s="76">
        <f>_xlfn.XLOOKUP(Brushsheet[[#This Row],[Student ID]],Students!A:A,Students!J:J)</f>
        <v>0</v>
      </c>
      <c r="D22" s="84"/>
      <c r="E22" s="76">
        <f>_xlfn.XLOOKUP(Brushsheet[[#This Row],[Subject ID]],Subjects!A:A,Subjects!B:B)</f>
        <v>0</v>
      </c>
      <c r="F22" s="84"/>
      <c r="G22" s="84"/>
      <c r="H22" s="84"/>
      <c r="I22" s="84"/>
      <c r="J22" s="84"/>
      <c r="K22" s="76">
        <f>SUM(Brushsheet[[#This Row],[1st CA]:[Exam Score]])</f>
        <v>0</v>
      </c>
      <c r="L2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3" spans="1:13" x14ac:dyDescent="0.25">
      <c r="A23" s="84"/>
      <c r="B2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3" s="76">
        <f>_xlfn.XLOOKUP(Brushsheet[[#This Row],[Student ID]],Students!A:A,Students!J:J)</f>
        <v>0</v>
      </c>
      <c r="D23" s="84"/>
      <c r="E23" s="76">
        <f>_xlfn.XLOOKUP(Brushsheet[[#This Row],[Subject ID]],Subjects!A:A,Subjects!B:B)</f>
        <v>0</v>
      </c>
      <c r="F23" s="84"/>
      <c r="G23" s="84"/>
      <c r="H23" s="84"/>
      <c r="I23" s="84"/>
      <c r="J23" s="84"/>
      <c r="K23" s="76">
        <f>SUM(Brushsheet[[#This Row],[1st CA]:[Exam Score]])</f>
        <v>0</v>
      </c>
      <c r="L2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4" spans="1:13" x14ac:dyDescent="0.25">
      <c r="A24" s="84"/>
      <c r="B2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4" s="76">
        <f>_xlfn.XLOOKUP(Brushsheet[[#This Row],[Student ID]],Students!A:A,Students!J:J)</f>
        <v>0</v>
      </c>
      <c r="D24" s="84"/>
      <c r="E24" s="76">
        <f>_xlfn.XLOOKUP(Brushsheet[[#This Row],[Subject ID]],Subjects!A:A,Subjects!B:B)</f>
        <v>0</v>
      </c>
      <c r="F24" s="84"/>
      <c r="G24" s="84"/>
      <c r="H24" s="84"/>
      <c r="I24" s="84"/>
      <c r="J24" s="84"/>
      <c r="K24" s="76">
        <f>SUM(Brushsheet[[#This Row],[1st CA]:[Exam Score]])</f>
        <v>0</v>
      </c>
      <c r="L2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5" spans="1:13" x14ac:dyDescent="0.25">
      <c r="A25" s="84"/>
      <c r="B2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5" s="76">
        <f>_xlfn.XLOOKUP(Brushsheet[[#This Row],[Student ID]],Students!A:A,Students!J:J)</f>
        <v>0</v>
      </c>
      <c r="D25" s="84"/>
      <c r="E25" s="76">
        <f>_xlfn.XLOOKUP(Brushsheet[[#This Row],[Subject ID]],Subjects!A:A,Subjects!B:B)</f>
        <v>0</v>
      </c>
      <c r="F25" s="84"/>
      <c r="G25" s="84"/>
      <c r="H25" s="84"/>
      <c r="I25" s="84"/>
      <c r="J25" s="84"/>
      <c r="K25" s="76">
        <f>SUM(Brushsheet[[#This Row],[1st CA]:[Exam Score]])</f>
        <v>0</v>
      </c>
      <c r="L2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6" spans="1:13" x14ac:dyDescent="0.25">
      <c r="A26" s="84"/>
      <c r="B2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6" s="76">
        <f>_xlfn.XLOOKUP(Brushsheet[[#This Row],[Student ID]],Students!A:A,Students!J:J)</f>
        <v>0</v>
      </c>
      <c r="D26" s="84"/>
      <c r="E26" s="76">
        <f>_xlfn.XLOOKUP(Brushsheet[[#This Row],[Subject ID]],Subjects!A:A,Subjects!B:B)</f>
        <v>0</v>
      </c>
      <c r="F26" s="84"/>
      <c r="G26" s="84"/>
      <c r="H26" s="84"/>
      <c r="I26" s="84"/>
      <c r="J26" s="84"/>
      <c r="K26" s="76">
        <f>SUM(Brushsheet[[#This Row],[1st CA]:[Exam Score]])</f>
        <v>0</v>
      </c>
      <c r="L2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7" spans="1:13" x14ac:dyDescent="0.25">
      <c r="A27" s="84"/>
      <c r="B2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7" s="76">
        <f>_xlfn.XLOOKUP(Brushsheet[[#This Row],[Student ID]],Students!A:A,Students!J:J)</f>
        <v>0</v>
      </c>
      <c r="D27" s="84"/>
      <c r="E27" s="76">
        <f>_xlfn.XLOOKUP(Brushsheet[[#This Row],[Subject ID]],Subjects!A:A,Subjects!B:B)</f>
        <v>0</v>
      </c>
      <c r="F27" s="84"/>
      <c r="G27" s="84"/>
      <c r="H27" s="84"/>
      <c r="I27" s="84"/>
      <c r="J27" s="84"/>
      <c r="K27" s="76">
        <f>SUM(Brushsheet[[#This Row],[1st CA]:[Exam Score]])</f>
        <v>0</v>
      </c>
      <c r="L2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8" spans="1:13" x14ac:dyDescent="0.25">
      <c r="A28" s="84"/>
      <c r="B2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8" s="76">
        <f>_xlfn.XLOOKUP(Brushsheet[[#This Row],[Student ID]],Students!A:A,Students!J:J)</f>
        <v>0</v>
      </c>
      <c r="D28" s="84"/>
      <c r="E28" s="76">
        <f>_xlfn.XLOOKUP(Brushsheet[[#This Row],[Subject ID]],Subjects!A:A,Subjects!B:B)</f>
        <v>0</v>
      </c>
      <c r="F28" s="84"/>
      <c r="G28" s="84"/>
      <c r="H28" s="84"/>
      <c r="I28" s="84"/>
      <c r="J28" s="84"/>
      <c r="K28" s="76">
        <f>SUM(Brushsheet[[#This Row],[1st CA]:[Exam Score]])</f>
        <v>0</v>
      </c>
      <c r="L2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9" spans="1:13" x14ac:dyDescent="0.25">
      <c r="A29" s="84"/>
      <c r="B2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9" s="76">
        <f>_xlfn.XLOOKUP(Brushsheet[[#This Row],[Student ID]],Students!A:A,Students!J:J)</f>
        <v>0</v>
      </c>
      <c r="D29" s="84"/>
      <c r="E29" s="76">
        <f>_xlfn.XLOOKUP(Brushsheet[[#This Row],[Subject ID]],Subjects!A:A,Subjects!B:B)</f>
        <v>0</v>
      </c>
      <c r="F29" s="84"/>
      <c r="G29" s="84"/>
      <c r="H29" s="84"/>
      <c r="I29" s="84"/>
      <c r="J29" s="84"/>
      <c r="K29" s="76">
        <f>SUM(Brushsheet[[#This Row],[1st CA]:[Exam Score]])</f>
        <v>0</v>
      </c>
      <c r="L2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0" spans="1:13" x14ac:dyDescent="0.25">
      <c r="A30" s="84"/>
      <c r="B3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0" s="76">
        <f>_xlfn.XLOOKUP(Brushsheet[[#This Row],[Student ID]],Students!A:A,Students!J:J)</f>
        <v>0</v>
      </c>
      <c r="D30" s="84"/>
      <c r="E30" s="76">
        <f>_xlfn.XLOOKUP(Brushsheet[[#This Row],[Subject ID]],Subjects!A:A,Subjects!B:B)</f>
        <v>0</v>
      </c>
      <c r="F30" s="84"/>
      <c r="G30" s="84"/>
      <c r="H30" s="84"/>
      <c r="I30" s="84"/>
      <c r="J30" s="84"/>
      <c r="K30" s="76">
        <f>SUM(Brushsheet[[#This Row],[1st CA]:[Exam Score]])</f>
        <v>0</v>
      </c>
      <c r="L3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1" spans="1:13" x14ac:dyDescent="0.25">
      <c r="A31" s="84"/>
      <c r="B3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1" s="76">
        <f>_xlfn.XLOOKUP(Brushsheet[[#This Row],[Student ID]],Students!A:A,Students!J:J)</f>
        <v>0</v>
      </c>
      <c r="D31" s="84"/>
      <c r="E31" s="76">
        <f>_xlfn.XLOOKUP(Brushsheet[[#This Row],[Subject ID]],Subjects!A:A,Subjects!B:B)</f>
        <v>0</v>
      </c>
      <c r="F31" s="84"/>
      <c r="G31" s="84"/>
      <c r="H31" s="84"/>
      <c r="I31" s="84"/>
      <c r="J31" s="84"/>
      <c r="K31" s="76">
        <f>SUM(Brushsheet[[#This Row],[1st CA]:[Exam Score]])</f>
        <v>0</v>
      </c>
      <c r="L3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2" spans="1:13" x14ac:dyDescent="0.25">
      <c r="A32" s="84"/>
      <c r="B3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2" s="76">
        <f>_xlfn.XLOOKUP(Brushsheet[[#This Row],[Student ID]],Students!A:A,Students!J:J)</f>
        <v>0</v>
      </c>
      <c r="D32" s="84"/>
      <c r="E32" s="76">
        <f>_xlfn.XLOOKUP(Brushsheet[[#This Row],[Subject ID]],Subjects!A:A,Subjects!B:B)</f>
        <v>0</v>
      </c>
      <c r="F32" s="84"/>
      <c r="G32" s="84"/>
      <c r="H32" s="84"/>
      <c r="I32" s="84"/>
      <c r="J32" s="84"/>
      <c r="K32" s="76">
        <f>SUM(Brushsheet[[#This Row],[1st CA]:[Exam Score]])</f>
        <v>0</v>
      </c>
      <c r="L3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3" spans="1:13" x14ac:dyDescent="0.25">
      <c r="A33" s="84"/>
      <c r="B3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3" s="76">
        <f>_xlfn.XLOOKUP(Brushsheet[[#This Row],[Student ID]],Students!A:A,Students!J:J)</f>
        <v>0</v>
      </c>
      <c r="D33" s="84"/>
      <c r="E33" s="76">
        <f>_xlfn.XLOOKUP(Brushsheet[[#This Row],[Subject ID]],Subjects!A:A,Subjects!B:B)</f>
        <v>0</v>
      </c>
      <c r="F33" s="84"/>
      <c r="G33" s="84"/>
      <c r="H33" s="84"/>
      <c r="I33" s="84"/>
      <c r="J33" s="84"/>
      <c r="K33" s="76">
        <f>SUM(Brushsheet[[#This Row],[1st CA]:[Exam Score]])</f>
        <v>0</v>
      </c>
      <c r="L3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4" spans="1:13" x14ac:dyDescent="0.25">
      <c r="A34" s="84"/>
      <c r="B3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4" s="76">
        <f>_xlfn.XLOOKUP(Brushsheet[[#This Row],[Student ID]],Students!A:A,Students!J:J)</f>
        <v>0</v>
      </c>
      <c r="D34" s="84"/>
      <c r="E34" s="76">
        <f>_xlfn.XLOOKUP(Brushsheet[[#This Row],[Subject ID]],Subjects!A:A,Subjects!B:B)</f>
        <v>0</v>
      </c>
      <c r="F34" s="84"/>
      <c r="G34" s="84"/>
      <c r="H34" s="84"/>
      <c r="I34" s="84"/>
      <c r="J34" s="84"/>
      <c r="K34" s="76">
        <f>SUM(Brushsheet[[#This Row],[1st CA]:[Exam Score]])</f>
        <v>0</v>
      </c>
      <c r="L3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5" spans="1:13" x14ac:dyDescent="0.25">
      <c r="A35" s="84"/>
      <c r="B3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5" s="76">
        <f>_xlfn.XLOOKUP(Brushsheet[[#This Row],[Student ID]],Students!A:A,Students!J:J)</f>
        <v>0</v>
      </c>
      <c r="D35" s="84"/>
      <c r="E35" s="76">
        <f>_xlfn.XLOOKUP(Brushsheet[[#This Row],[Subject ID]],Subjects!A:A,Subjects!B:B)</f>
        <v>0</v>
      </c>
      <c r="F35" s="84"/>
      <c r="G35" s="84"/>
      <c r="H35" s="84"/>
      <c r="I35" s="84"/>
      <c r="J35" s="84"/>
      <c r="K35" s="76">
        <f>SUM(Brushsheet[[#This Row],[1st CA]:[Exam Score]])</f>
        <v>0</v>
      </c>
      <c r="L3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6" spans="1:13" x14ac:dyDescent="0.25">
      <c r="A36" s="84"/>
      <c r="B3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6" s="76">
        <f>_xlfn.XLOOKUP(Brushsheet[[#This Row],[Student ID]],Students!A:A,Students!J:J)</f>
        <v>0</v>
      </c>
      <c r="D36" s="84"/>
      <c r="E36" s="76">
        <f>_xlfn.XLOOKUP(Brushsheet[[#This Row],[Subject ID]],Subjects!A:A,Subjects!B:B)</f>
        <v>0</v>
      </c>
      <c r="F36" s="84"/>
      <c r="G36" s="84"/>
      <c r="H36" s="84"/>
      <c r="I36" s="84"/>
      <c r="J36" s="84"/>
      <c r="K36" s="76">
        <f>SUM(Brushsheet[[#This Row],[1st CA]:[Exam Score]])</f>
        <v>0</v>
      </c>
      <c r="L3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7" spans="1:13" x14ac:dyDescent="0.25">
      <c r="A37" s="84"/>
      <c r="B3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7" s="76">
        <f>_xlfn.XLOOKUP(Brushsheet[[#This Row],[Student ID]],Students!A:A,Students!J:J)</f>
        <v>0</v>
      </c>
      <c r="D37" s="84"/>
      <c r="E37" s="76">
        <f>_xlfn.XLOOKUP(Brushsheet[[#This Row],[Subject ID]],Subjects!A:A,Subjects!B:B)</f>
        <v>0</v>
      </c>
      <c r="F37" s="84"/>
      <c r="G37" s="84"/>
      <c r="H37" s="84"/>
      <c r="I37" s="84"/>
      <c r="J37" s="84"/>
      <c r="K37" s="76">
        <f>SUM(Brushsheet[[#This Row],[1st CA]:[Exam Score]])</f>
        <v>0</v>
      </c>
      <c r="L3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8" spans="1:13" x14ac:dyDescent="0.25">
      <c r="A38" s="84"/>
      <c r="B3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8" s="76">
        <f>_xlfn.XLOOKUP(Brushsheet[[#This Row],[Student ID]],Students!A:A,Students!J:J)</f>
        <v>0</v>
      </c>
      <c r="D38" s="84"/>
      <c r="E38" s="76">
        <f>_xlfn.XLOOKUP(Brushsheet[[#This Row],[Subject ID]],Subjects!A:A,Subjects!B:B)</f>
        <v>0</v>
      </c>
      <c r="F38" s="84"/>
      <c r="G38" s="84"/>
      <c r="H38" s="84"/>
      <c r="I38" s="84"/>
      <c r="J38" s="84"/>
      <c r="K38" s="76">
        <f>SUM(Brushsheet[[#This Row],[1st CA]:[Exam Score]])</f>
        <v>0</v>
      </c>
      <c r="L3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9" spans="1:13" x14ac:dyDescent="0.25">
      <c r="A39" s="84"/>
      <c r="B3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9" s="76">
        <f>_xlfn.XLOOKUP(Brushsheet[[#This Row],[Student ID]],Students!A:A,Students!J:J)</f>
        <v>0</v>
      </c>
      <c r="D39" s="84"/>
      <c r="E39" s="76">
        <f>_xlfn.XLOOKUP(Brushsheet[[#This Row],[Subject ID]],Subjects!A:A,Subjects!B:B)</f>
        <v>0</v>
      </c>
      <c r="F39" s="84"/>
      <c r="G39" s="84"/>
      <c r="H39" s="84"/>
      <c r="I39" s="84"/>
      <c r="J39" s="84"/>
      <c r="K39" s="76">
        <f>SUM(Brushsheet[[#This Row],[1st CA]:[Exam Score]])</f>
        <v>0</v>
      </c>
      <c r="L3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0" spans="1:13" x14ac:dyDescent="0.25">
      <c r="A40" s="84"/>
      <c r="B4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0" s="76">
        <f>_xlfn.XLOOKUP(Brushsheet[[#This Row],[Student ID]],Students!A:A,Students!J:J)</f>
        <v>0</v>
      </c>
      <c r="D40" s="84"/>
      <c r="E40" s="76">
        <f>_xlfn.XLOOKUP(Brushsheet[[#This Row],[Subject ID]],Subjects!A:A,Subjects!B:B)</f>
        <v>0</v>
      </c>
      <c r="F40" s="84"/>
      <c r="G40" s="84"/>
      <c r="H40" s="84"/>
      <c r="I40" s="84"/>
      <c r="J40" s="84"/>
      <c r="K40" s="76">
        <f>SUM(Brushsheet[[#This Row],[1st CA]:[Exam Score]])</f>
        <v>0</v>
      </c>
      <c r="L4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1" spans="1:13" x14ac:dyDescent="0.25">
      <c r="A41" s="84"/>
      <c r="B4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1" s="76">
        <f>_xlfn.XLOOKUP(Brushsheet[[#This Row],[Student ID]],Students!A:A,Students!J:J)</f>
        <v>0</v>
      </c>
      <c r="D41" s="84"/>
      <c r="E41" s="76">
        <f>_xlfn.XLOOKUP(Brushsheet[[#This Row],[Subject ID]],Subjects!A:A,Subjects!B:B)</f>
        <v>0</v>
      </c>
      <c r="F41" s="84"/>
      <c r="G41" s="84"/>
      <c r="H41" s="84"/>
      <c r="I41" s="84"/>
      <c r="J41" s="84"/>
      <c r="K41" s="76">
        <f>SUM(Brushsheet[[#This Row],[1st CA]:[Exam Score]])</f>
        <v>0</v>
      </c>
      <c r="L4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2" spans="1:13" x14ac:dyDescent="0.25">
      <c r="A42" s="84"/>
      <c r="B4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2" s="76">
        <f>_xlfn.XLOOKUP(Brushsheet[[#This Row],[Student ID]],Students!A:A,Students!J:J)</f>
        <v>0</v>
      </c>
      <c r="D42" s="84"/>
      <c r="E42" s="76">
        <f>_xlfn.XLOOKUP(Brushsheet[[#This Row],[Subject ID]],Subjects!A:A,Subjects!B:B)</f>
        <v>0</v>
      </c>
      <c r="F42" s="84"/>
      <c r="G42" s="84"/>
      <c r="H42" s="84"/>
      <c r="I42" s="84"/>
      <c r="J42" s="84"/>
      <c r="K42" s="76">
        <f>SUM(Brushsheet[[#This Row],[1st CA]:[Exam Score]])</f>
        <v>0</v>
      </c>
      <c r="L4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3" spans="1:13" x14ac:dyDescent="0.25">
      <c r="A43" s="84"/>
      <c r="B4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3" s="76">
        <f>_xlfn.XLOOKUP(Brushsheet[[#This Row],[Student ID]],Students!A:A,Students!J:J)</f>
        <v>0</v>
      </c>
      <c r="D43" s="84"/>
      <c r="E43" s="76">
        <f>_xlfn.XLOOKUP(Brushsheet[[#This Row],[Subject ID]],Subjects!A:A,Subjects!B:B)</f>
        <v>0</v>
      </c>
      <c r="F43" s="84"/>
      <c r="G43" s="84"/>
      <c r="H43" s="84"/>
      <c r="I43" s="84"/>
      <c r="J43" s="84"/>
      <c r="K43" s="76">
        <f>SUM(Brushsheet[[#This Row],[1st CA]:[Exam Score]])</f>
        <v>0</v>
      </c>
      <c r="L4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4" spans="1:13" x14ac:dyDescent="0.25">
      <c r="A44" s="84"/>
      <c r="B4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4" s="76">
        <f>_xlfn.XLOOKUP(Brushsheet[[#This Row],[Student ID]],Students!A:A,Students!J:J)</f>
        <v>0</v>
      </c>
      <c r="D44" s="84"/>
      <c r="E44" s="76">
        <f>_xlfn.XLOOKUP(Brushsheet[[#This Row],[Subject ID]],Subjects!A:A,Subjects!B:B)</f>
        <v>0</v>
      </c>
      <c r="F44" s="84"/>
      <c r="G44" s="84"/>
      <c r="H44" s="84"/>
      <c r="I44" s="84"/>
      <c r="J44" s="84"/>
      <c r="K44" s="76">
        <f>SUM(Brushsheet[[#This Row],[1st CA]:[Exam Score]])</f>
        <v>0</v>
      </c>
      <c r="L4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5" spans="1:13" x14ac:dyDescent="0.25">
      <c r="A45" s="84"/>
      <c r="B4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5" s="76">
        <f>_xlfn.XLOOKUP(Brushsheet[[#This Row],[Student ID]],Students!A:A,Students!J:J)</f>
        <v>0</v>
      </c>
      <c r="D45" s="84"/>
      <c r="E45" s="76">
        <f>_xlfn.XLOOKUP(Brushsheet[[#This Row],[Subject ID]],Subjects!A:A,Subjects!B:B)</f>
        <v>0</v>
      </c>
      <c r="F45" s="84"/>
      <c r="G45" s="84"/>
      <c r="H45" s="84"/>
      <c r="I45" s="84"/>
      <c r="J45" s="84"/>
      <c r="K45" s="76">
        <f>SUM(Brushsheet[[#This Row],[1st CA]:[Exam Score]])</f>
        <v>0</v>
      </c>
      <c r="L4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6" spans="1:13" x14ac:dyDescent="0.25">
      <c r="A46" s="84"/>
      <c r="B4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6" s="76">
        <f>_xlfn.XLOOKUP(Brushsheet[[#This Row],[Student ID]],Students!A:A,Students!J:J)</f>
        <v>0</v>
      </c>
      <c r="D46" s="84"/>
      <c r="E46" s="76">
        <f>_xlfn.XLOOKUP(Brushsheet[[#This Row],[Subject ID]],Subjects!A:A,Subjects!B:B)</f>
        <v>0</v>
      </c>
      <c r="F46" s="84"/>
      <c r="G46" s="84"/>
      <c r="H46" s="84"/>
      <c r="I46" s="84"/>
      <c r="J46" s="84"/>
      <c r="K46" s="76">
        <f>SUM(Brushsheet[[#This Row],[1st CA]:[Exam Score]])</f>
        <v>0</v>
      </c>
      <c r="L4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7" spans="1:13" x14ac:dyDescent="0.25">
      <c r="A47" s="84"/>
      <c r="B4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7" s="76">
        <f>_xlfn.XLOOKUP(Brushsheet[[#This Row],[Student ID]],Students!A:A,Students!J:J)</f>
        <v>0</v>
      </c>
      <c r="D47" s="84"/>
      <c r="E47" s="76">
        <f>_xlfn.XLOOKUP(Brushsheet[[#This Row],[Subject ID]],Subjects!A:A,Subjects!B:B)</f>
        <v>0</v>
      </c>
      <c r="F47" s="84"/>
      <c r="G47" s="84"/>
      <c r="H47" s="84"/>
      <c r="I47" s="84"/>
      <c r="J47" s="84"/>
      <c r="K47" s="76">
        <f>SUM(Brushsheet[[#This Row],[1st CA]:[Exam Score]])</f>
        <v>0</v>
      </c>
      <c r="L4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8" spans="1:13" x14ac:dyDescent="0.25">
      <c r="A48" s="84"/>
      <c r="B4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8" s="76">
        <f>_xlfn.XLOOKUP(Brushsheet[[#This Row],[Student ID]],Students!A:A,Students!J:J)</f>
        <v>0</v>
      </c>
      <c r="D48" s="84"/>
      <c r="E48" s="76">
        <f>_xlfn.XLOOKUP(Brushsheet[[#This Row],[Subject ID]],Subjects!A:A,Subjects!B:B)</f>
        <v>0</v>
      </c>
      <c r="F48" s="84"/>
      <c r="G48" s="84"/>
      <c r="H48" s="84"/>
      <c r="I48" s="84"/>
      <c r="J48" s="84"/>
      <c r="K48" s="76">
        <f>SUM(Brushsheet[[#This Row],[1st CA]:[Exam Score]])</f>
        <v>0</v>
      </c>
      <c r="L4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9" spans="1:13" x14ac:dyDescent="0.25">
      <c r="A49" s="84"/>
      <c r="B4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9" s="76">
        <f>_xlfn.XLOOKUP(Brushsheet[[#This Row],[Student ID]],Students!A:A,Students!J:J)</f>
        <v>0</v>
      </c>
      <c r="D49" s="84"/>
      <c r="E49" s="76">
        <f>_xlfn.XLOOKUP(Brushsheet[[#This Row],[Subject ID]],Subjects!A:A,Subjects!B:B)</f>
        <v>0</v>
      </c>
      <c r="F49" s="84"/>
      <c r="G49" s="84"/>
      <c r="H49" s="84"/>
      <c r="I49" s="84"/>
      <c r="J49" s="84"/>
      <c r="K49" s="76">
        <f>SUM(Brushsheet[[#This Row],[1st CA]:[Exam Score]])</f>
        <v>0</v>
      </c>
      <c r="L4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0" spans="1:13" x14ac:dyDescent="0.25">
      <c r="A50" s="84"/>
      <c r="B5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0" s="76">
        <f>_xlfn.XLOOKUP(Brushsheet[[#This Row],[Student ID]],Students!A:A,Students!J:J)</f>
        <v>0</v>
      </c>
      <c r="D50" s="84"/>
      <c r="E50" s="76">
        <f>_xlfn.XLOOKUP(Brushsheet[[#This Row],[Subject ID]],Subjects!A:A,Subjects!B:B)</f>
        <v>0</v>
      </c>
      <c r="F50" s="84"/>
      <c r="G50" s="84"/>
      <c r="H50" s="84"/>
      <c r="I50" s="84"/>
      <c r="J50" s="84"/>
      <c r="K50" s="76">
        <f>SUM(Brushsheet[[#This Row],[1st CA]:[Exam Score]])</f>
        <v>0</v>
      </c>
      <c r="L5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1" spans="1:13" x14ac:dyDescent="0.25">
      <c r="A51" s="84"/>
      <c r="B5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1" s="76">
        <f>_xlfn.XLOOKUP(Brushsheet[[#This Row],[Student ID]],Students!A:A,Students!J:J)</f>
        <v>0</v>
      </c>
      <c r="D51" s="84"/>
      <c r="E51" s="76">
        <f>_xlfn.XLOOKUP(Brushsheet[[#This Row],[Subject ID]],Subjects!A:A,Subjects!B:B)</f>
        <v>0</v>
      </c>
      <c r="F51" s="84"/>
      <c r="G51" s="84"/>
      <c r="H51" s="84"/>
      <c r="I51" s="84"/>
      <c r="J51" s="84"/>
      <c r="K51" s="76">
        <f>SUM(Brushsheet[[#This Row],[1st CA]:[Exam Score]])</f>
        <v>0</v>
      </c>
      <c r="L5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2" spans="1:13" x14ac:dyDescent="0.25">
      <c r="A52" s="84"/>
      <c r="B5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2" s="76">
        <f>_xlfn.XLOOKUP(Brushsheet[[#This Row],[Student ID]],Students!A:A,Students!J:J)</f>
        <v>0</v>
      </c>
      <c r="D52" s="84"/>
      <c r="E52" s="76">
        <f>_xlfn.XLOOKUP(Brushsheet[[#This Row],[Subject ID]],Subjects!A:A,Subjects!B:B)</f>
        <v>0</v>
      </c>
      <c r="F52" s="84"/>
      <c r="G52" s="84"/>
      <c r="H52" s="84"/>
      <c r="I52" s="84"/>
      <c r="J52" s="84"/>
      <c r="K52" s="76">
        <f>SUM(Brushsheet[[#This Row],[1st CA]:[Exam Score]])</f>
        <v>0</v>
      </c>
      <c r="L5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3" spans="1:13" x14ac:dyDescent="0.25">
      <c r="A53" s="84"/>
      <c r="B5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3" s="76">
        <f>_xlfn.XLOOKUP(Brushsheet[[#This Row],[Student ID]],Students!A:A,Students!J:J)</f>
        <v>0</v>
      </c>
      <c r="D53" s="84"/>
      <c r="E53" s="76">
        <f>_xlfn.XLOOKUP(Brushsheet[[#This Row],[Subject ID]],Subjects!A:A,Subjects!B:B)</f>
        <v>0</v>
      </c>
      <c r="F53" s="84"/>
      <c r="G53" s="84"/>
      <c r="H53" s="84"/>
      <c r="I53" s="84"/>
      <c r="J53" s="84"/>
      <c r="K53" s="76">
        <f>SUM(Brushsheet[[#This Row],[1st CA]:[Exam Score]])</f>
        <v>0</v>
      </c>
      <c r="L5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4" spans="1:13" x14ac:dyDescent="0.25">
      <c r="A54" s="84"/>
      <c r="B5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4" s="76">
        <f>_xlfn.XLOOKUP(Brushsheet[[#This Row],[Student ID]],Students!A:A,Students!J:J)</f>
        <v>0</v>
      </c>
      <c r="D54" s="84"/>
      <c r="E54" s="76">
        <f>_xlfn.XLOOKUP(Brushsheet[[#This Row],[Subject ID]],Subjects!A:A,Subjects!B:B)</f>
        <v>0</v>
      </c>
      <c r="F54" s="84"/>
      <c r="G54" s="84"/>
      <c r="H54" s="84"/>
      <c r="I54" s="84"/>
      <c r="J54" s="84"/>
      <c r="K54" s="76">
        <f>SUM(Brushsheet[[#This Row],[1st CA]:[Exam Score]])</f>
        <v>0</v>
      </c>
      <c r="L5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5" spans="1:13" x14ac:dyDescent="0.25">
      <c r="A55" s="84"/>
      <c r="B5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5" s="76">
        <f>_xlfn.XLOOKUP(Brushsheet[[#This Row],[Student ID]],Students!A:A,Students!J:J)</f>
        <v>0</v>
      </c>
      <c r="D55" s="84"/>
      <c r="E55" s="76">
        <f>_xlfn.XLOOKUP(Brushsheet[[#This Row],[Subject ID]],Subjects!A:A,Subjects!B:B)</f>
        <v>0</v>
      </c>
      <c r="F55" s="84"/>
      <c r="G55" s="84"/>
      <c r="H55" s="84"/>
      <c r="I55" s="84"/>
      <c r="J55" s="84"/>
      <c r="K55" s="76">
        <f>SUM(Brushsheet[[#This Row],[1st CA]:[Exam Score]])</f>
        <v>0</v>
      </c>
      <c r="L5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6" spans="1:13" x14ac:dyDescent="0.25">
      <c r="A56" s="84"/>
      <c r="B5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6" s="76">
        <f>_xlfn.XLOOKUP(Brushsheet[[#This Row],[Student ID]],Students!A:A,Students!J:J)</f>
        <v>0</v>
      </c>
      <c r="D56" s="84"/>
      <c r="E56" s="76">
        <f>_xlfn.XLOOKUP(Brushsheet[[#This Row],[Subject ID]],Subjects!A:A,Subjects!B:B)</f>
        <v>0</v>
      </c>
      <c r="F56" s="84"/>
      <c r="G56" s="84"/>
      <c r="H56" s="84"/>
      <c r="I56" s="84"/>
      <c r="J56" s="84"/>
      <c r="K56" s="76">
        <f>SUM(Brushsheet[[#This Row],[1st CA]:[Exam Score]])</f>
        <v>0</v>
      </c>
      <c r="L5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7" spans="1:13" x14ac:dyDescent="0.25">
      <c r="A57" s="84"/>
      <c r="B5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7" s="76">
        <f>_xlfn.XLOOKUP(Brushsheet[[#This Row],[Student ID]],Students!A:A,Students!J:J)</f>
        <v>0</v>
      </c>
      <c r="D57" s="84"/>
      <c r="E57" s="76">
        <f>_xlfn.XLOOKUP(Brushsheet[[#This Row],[Subject ID]],Subjects!A:A,Subjects!B:B)</f>
        <v>0</v>
      </c>
      <c r="F57" s="84"/>
      <c r="G57" s="84"/>
      <c r="H57" s="84"/>
      <c r="I57" s="84"/>
      <c r="J57" s="84"/>
      <c r="K57" s="76">
        <f>SUM(Brushsheet[[#This Row],[1st CA]:[Exam Score]])</f>
        <v>0</v>
      </c>
      <c r="L5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8" spans="1:13" x14ac:dyDescent="0.25">
      <c r="A58" s="84"/>
      <c r="B5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8" s="76">
        <f>_xlfn.XLOOKUP(Brushsheet[[#This Row],[Student ID]],Students!A:A,Students!J:J)</f>
        <v>0</v>
      </c>
      <c r="D58" s="84"/>
      <c r="E58" s="76">
        <f>_xlfn.XLOOKUP(Brushsheet[[#This Row],[Subject ID]],Subjects!A:A,Subjects!B:B)</f>
        <v>0</v>
      </c>
      <c r="F58" s="84"/>
      <c r="G58" s="84"/>
      <c r="H58" s="84"/>
      <c r="I58" s="84"/>
      <c r="J58" s="84"/>
      <c r="K58" s="76">
        <f>SUM(Brushsheet[[#This Row],[1st CA]:[Exam Score]])</f>
        <v>0</v>
      </c>
      <c r="L5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9" spans="1:13" x14ac:dyDescent="0.25">
      <c r="A59" s="84"/>
      <c r="B5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9" s="76">
        <f>_xlfn.XLOOKUP(Brushsheet[[#This Row],[Student ID]],Students!A:A,Students!J:J)</f>
        <v>0</v>
      </c>
      <c r="D59" s="84"/>
      <c r="E59" s="76">
        <f>_xlfn.XLOOKUP(Brushsheet[[#This Row],[Subject ID]],Subjects!A:A,Subjects!B:B)</f>
        <v>0</v>
      </c>
      <c r="F59" s="84"/>
      <c r="G59" s="84"/>
      <c r="H59" s="84"/>
      <c r="I59" s="84"/>
      <c r="J59" s="84"/>
      <c r="K59" s="76">
        <f>SUM(Brushsheet[[#This Row],[1st CA]:[Exam Score]])</f>
        <v>0</v>
      </c>
      <c r="L5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0" spans="1:13" x14ac:dyDescent="0.25">
      <c r="A60" s="84"/>
      <c r="B6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0" s="76">
        <f>_xlfn.XLOOKUP(Brushsheet[[#This Row],[Student ID]],Students!A:A,Students!J:J)</f>
        <v>0</v>
      </c>
      <c r="D60" s="84"/>
      <c r="E60" s="76">
        <f>_xlfn.XLOOKUP(Brushsheet[[#This Row],[Subject ID]],Subjects!A:A,Subjects!B:B)</f>
        <v>0</v>
      </c>
      <c r="F60" s="84"/>
      <c r="G60" s="84"/>
      <c r="H60" s="84"/>
      <c r="I60" s="84"/>
      <c r="J60" s="84"/>
      <c r="K60" s="76">
        <f>SUM(Brushsheet[[#This Row],[1st CA]:[Exam Score]])</f>
        <v>0</v>
      </c>
      <c r="L6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1" spans="1:13" x14ac:dyDescent="0.25">
      <c r="A61" s="84"/>
      <c r="B6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1" s="76">
        <f>_xlfn.XLOOKUP(Brushsheet[[#This Row],[Student ID]],Students!A:A,Students!J:J)</f>
        <v>0</v>
      </c>
      <c r="D61" s="84"/>
      <c r="E61" s="76">
        <f>_xlfn.XLOOKUP(Brushsheet[[#This Row],[Subject ID]],Subjects!A:A,Subjects!B:B)</f>
        <v>0</v>
      </c>
      <c r="F61" s="84"/>
      <c r="G61" s="84"/>
      <c r="H61" s="84"/>
      <c r="I61" s="84"/>
      <c r="J61" s="84"/>
      <c r="K61" s="76">
        <f>SUM(Brushsheet[[#This Row],[1st CA]:[Exam Score]])</f>
        <v>0</v>
      </c>
      <c r="L6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2" spans="1:13" x14ac:dyDescent="0.25">
      <c r="A62" s="84"/>
      <c r="B6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2" s="76">
        <f>_xlfn.XLOOKUP(Brushsheet[[#This Row],[Student ID]],Students!A:A,Students!J:J)</f>
        <v>0</v>
      </c>
      <c r="D62" s="84"/>
      <c r="E62" s="76">
        <f>_xlfn.XLOOKUP(Brushsheet[[#This Row],[Subject ID]],Subjects!A:A,Subjects!B:B)</f>
        <v>0</v>
      </c>
      <c r="F62" s="84"/>
      <c r="G62" s="84"/>
      <c r="H62" s="84"/>
      <c r="I62" s="84"/>
      <c r="J62" s="84"/>
      <c r="K62" s="76">
        <f>SUM(Brushsheet[[#This Row],[1st CA]:[Exam Score]])</f>
        <v>0</v>
      </c>
      <c r="L6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3" spans="1:13" x14ac:dyDescent="0.25">
      <c r="A63" s="84"/>
      <c r="B6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3" s="76">
        <f>_xlfn.XLOOKUP(Brushsheet[[#This Row],[Student ID]],Students!A:A,Students!J:J)</f>
        <v>0</v>
      </c>
      <c r="D63" s="84"/>
      <c r="E63" s="76">
        <f>_xlfn.XLOOKUP(Brushsheet[[#This Row],[Subject ID]],Subjects!A:A,Subjects!B:B)</f>
        <v>0</v>
      </c>
      <c r="F63" s="84"/>
      <c r="G63" s="84"/>
      <c r="H63" s="84"/>
      <c r="I63" s="84"/>
      <c r="J63" s="84"/>
      <c r="K63" s="76">
        <f>SUM(Brushsheet[[#This Row],[1st CA]:[Exam Score]])</f>
        <v>0</v>
      </c>
      <c r="L6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4" spans="1:13" x14ac:dyDescent="0.25">
      <c r="A64" s="84"/>
      <c r="B6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4" s="76">
        <f>_xlfn.XLOOKUP(Brushsheet[[#This Row],[Student ID]],Students!A:A,Students!J:J)</f>
        <v>0</v>
      </c>
      <c r="D64" s="84"/>
      <c r="E64" s="76">
        <f>_xlfn.XLOOKUP(Brushsheet[[#This Row],[Subject ID]],Subjects!A:A,Subjects!B:B)</f>
        <v>0</v>
      </c>
      <c r="F64" s="84"/>
      <c r="G64" s="84"/>
      <c r="H64" s="84"/>
      <c r="I64" s="84"/>
      <c r="J64" s="84"/>
      <c r="K64" s="76">
        <f>SUM(Brushsheet[[#This Row],[1st CA]:[Exam Score]])</f>
        <v>0</v>
      </c>
      <c r="L6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5" spans="1:13" x14ac:dyDescent="0.25">
      <c r="A65" s="84"/>
      <c r="B6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5" s="76">
        <f>_xlfn.XLOOKUP(Brushsheet[[#This Row],[Student ID]],Students!A:A,Students!J:J)</f>
        <v>0</v>
      </c>
      <c r="D65" s="84"/>
      <c r="E65" s="76">
        <f>_xlfn.XLOOKUP(Brushsheet[[#This Row],[Subject ID]],Subjects!A:A,Subjects!B:B)</f>
        <v>0</v>
      </c>
      <c r="F65" s="84"/>
      <c r="G65" s="84"/>
      <c r="H65" s="84"/>
      <c r="I65" s="84"/>
      <c r="J65" s="84"/>
      <c r="K65" s="76">
        <f>SUM(Brushsheet[[#This Row],[1st CA]:[Exam Score]])</f>
        <v>0</v>
      </c>
      <c r="L6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6" spans="1:13" x14ac:dyDescent="0.25">
      <c r="A66" s="84"/>
      <c r="B6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6" s="76">
        <f>_xlfn.XLOOKUP(Brushsheet[[#This Row],[Student ID]],Students!A:A,Students!J:J)</f>
        <v>0</v>
      </c>
      <c r="D66" s="84"/>
      <c r="E66" s="76">
        <f>_xlfn.XLOOKUP(Brushsheet[[#This Row],[Subject ID]],Subjects!A:A,Subjects!B:B)</f>
        <v>0</v>
      </c>
      <c r="F66" s="84"/>
      <c r="G66" s="84"/>
      <c r="H66" s="84"/>
      <c r="I66" s="84"/>
      <c r="J66" s="84"/>
      <c r="K66" s="76">
        <f>SUM(Brushsheet[[#This Row],[1st CA]:[Exam Score]])</f>
        <v>0</v>
      </c>
      <c r="L6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7" spans="1:13" x14ac:dyDescent="0.25">
      <c r="A67" s="84"/>
      <c r="B6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7" s="76">
        <f>_xlfn.XLOOKUP(Brushsheet[[#This Row],[Student ID]],Students!A:A,Students!J:J)</f>
        <v>0</v>
      </c>
      <c r="D67" s="84"/>
      <c r="E67" s="76">
        <f>_xlfn.XLOOKUP(Brushsheet[[#This Row],[Subject ID]],Subjects!A:A,Subjects!B:B)</f>
        <v>0</v>
      </c>
      <c r="F67" s="84"/>
      <c r="G67" s="84"/>
      <c r="H67" s="84"/>
      <c r="I67" s="84"/>
      <c r="J67" s="84"/>
      <c r="K67" s="76">
        <f>SUM(Brushsheet[[#This Row],[1st CA]:[Exam Score]])</f>
        <v>0</v>
      </c>
      <c r="L6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8" spans="1:13" x14ac:dyDescent="0.25">
      <c r="A68" s="84"/>
      <c r="B6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8" s="76">
        <f>_xlfn.XLOOKUP(Brushsheet[[#This Row],[Student ID]],Students!A:A,Students!J:J)</f>
        <v>0</v>
      </c>
      <c r="D68" s="84"/>
      <c r="E68" s="76">
        <f>_xlfn.XLOOKUP(Brushsheet[[#This Row],[Subject ID]],Subjects!A:A,Subjects!B:B)</f>
        <v>0</v>
      </c>
      <c r="F68" s="84"/>
      <c r="G68" s="84"/>
      <c r="H68" s="84"/>
      <c r="I68" s="84"/>
      <c r="J68" s="84"/>
      <c r="K68" s="76">
        <f>SUM(Brushsheet[[#This Row],[1st CA]:[Exam Score]])</f>
        <v>0</v>
      </c>
      <c r="L6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9" spans="1:13" x14ac:dyDescent="0.25">
      <c r="A69" s="84"/>
      <c r="B6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9" s="76">
        <f>_xlfn.XLOOKUP(Brushsheet[[#This Row],[Student ID]],Students!A:A,Students!J:J)</f>
        <v>0</v>
      </c>
      <c r="D69" s="84"/>
      <c r="E69" s="76">
        <f>_xlfn.XLOOKUP(Brushsheet[[#This Row],[Subject ID]],Subjects!A:A,Subjects!B:B)</f>
        <v>0</v>
      </c>
      <c r="F69" s="84"/>
      <c r="G69" s="84"/>
      <c r="H69" s="84"/>
      <c r="I69" s="84"/>
      <c r="J69" s="84"/>
      <c r="K69" s="76">
        <f>SUM(Brushsheet[[#This Row],[1st CA]:[Exam Score]])</f>
        <v>0</v>
      </c>
      <c r="L6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0" spans="1:13" x14ac:dyDescent="0.25">
      <c r="A70" s="84"/>
      <c r="B7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0" s="76">
        <f>_xlfn.XLOOKUP(Brushsheet[[#This Row],[Student ID]],Students!A:A,Students!J:J)</f>
        <v>0</v>
      </c>
      <c r="D70" s="84"/>
      <c r="E70" s="76">
        <f>_xlfn.XLOOKUP(Brushsheet[[#This Row],[Subject ID]],Subjects!A:A,Subjects!B:B)</f>
        <v>0</v>
      </c>
      <c r="F70" s="84"/>
      <c r="G70" s="84"/>
      <c r="H70" s="84"/>
      <c r="I70" s="84"/>
      <c r="J70" s="84"/>
      <c r="K70" s="76">
        <f>SUM(Brushsheet[[#This Row],[1st CA]:[Exam Score]])</f>
        <v>0</v>
      </c>
      <c r="L7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1" spans="1:13" x14ac:dyDescent="0.25">
      <c r="A71" s="84"/>
      <c r="B7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1" s="76">
        <f>_xlfn.XLOOKUP(Brushsheet[[#This Row],[Student ID]],Students!A:A,Students!J:J)</f>
        <v>0</v>
      </c>
      <c r="D71" s="84"/>
      <c r="E71" s="76">
        <f>_xlfn.XLOOKUP(Brushsheet[[#This Row],[Subject ID]],Subjects!A:A,Subjects!B:B)</f>
        <v>0</v>
      </c>
      <c r="F71" s="84"/>
      <c r="G71" s="84"/>
      <c r="H71" s="84"/>
      <c r="I71" s="84"/>
      <c r="J71" s="84"/>
      <c r="K71" s="76">
        <f>SUM(Brushsheet[[#This Row],[1st CA]:[Exam Score]])</f>
        <v>0</v>
      </c>
      <c r="L7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2" spans="1:13" x14ac:dyDescent="0.25">
      <c r="A72" s="84"/>
      <c r="B7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2" s="76">
        <f>_xlfn.XLOOKUP(Brushsheet[[#This Row],[Student ID]],Students!A:A,Students!J:J)</f>
        <v>0</v>
      </c>
      <c r="D72" s="84"/>
      <c r="E72" s="76">
        <f>_xlfn.XLOOKUP(Brushsheet[[#This Row],[Subject ID]],Subjects!A:A,Subjects!B:B)</f>
        <v>0</v>
      </c>
      <c r="F72" s="84"/>
      <c r="G72" s="84"/>
      <c r="H72" s="84"/>
      <c r="I72" s="84"/>
      <c r="J72" s="84"/>
      <c r="K72" s="76">
        <f>SUM(Brushsheet[[#This Row],[1st CA]:[Exam Score]])</f>
        <v>0</v>
      </c>
      <c r="L7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3" spans="1:13" x14ac:dyDescent="0.25">
      <c r="A73" s="84"/>
      <c r="B7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3" s="76">
        <f>_xlfn.XLOOKUP(Brushsheet[[#This Row],[Student ID]],Students!A:A,Students!J:J)</f>
        <v>0</v>
      </c>
      <c r="D73" s="84"/>
      <c r="E73" s="76">
        <f>_xlfn.XLOOKUP(Brushsheet[[#This Row],[Subject ID]],Subjects!A:A,Subjects!B:B)</f>
        <v>0</v>
      </c>
      <c r="F73" s="84"/>
      <c r="G73" s="84"/>
      <c r="H73" s="84"/>
      <c r="I73" s="84"/>
      <c r="J73" s="84"/>
      <c r="K73" s="76">
        <f>SUM(Brushsheet[[#This Row],[1st CA]:[Exam Score]])</f>
        <v>0</v>
      </c>
      <c r="L7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4" spans="1:13" x14ac:dyDescent="0.25">
      <c r="A74" s="84"/>
      <c r="B7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4" s="76">
        <f>_xlfn.XLOOKUP(Brushsheet[[#This Row],[Student ID]],Students!A:A,Students!J:J)</f>
        <v>0</v>
      </c>
      <c r="D74" s="84"/>
      <c r="E74" s="76">
        <f>_xlfn.XLOOKUP(Brushsheet[[#This Row],[Subject ID]],Subjects!A:A,Subjects!B:B)</f>
        <v>0</v>
      </c>
      <c r="F74" s="84"/>
      <c r="G74" s="84"/>
      <c r="H74" s="84"/>
      <c r="I74" s="84"/>
      <c r="J74" s="84"/>
      <c r="K74" s="76">
        <f>SUM(Brushsheet[[#This Row],[1st CA]:[Exam Score]])</f>
        <v>0</v>
      </c>
      <c r="L7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5" spans="1:13" x14ac:dyDescent="0.25">
      <c r="A75" s="84"/>
      <c r="B7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5" s="76">
        <f>_xlfn.XLOOKUP(Brushsheet[[#This Row],[Student ID]],Students!A:A,Students!J:J)</f>
        <v>0</v>
      </c>
      <c r="D75" s="84"/>
      <c r="E75" s="76">
        <f>_xlfn.XLOOKUP(Brushsheet[[#This Row],[Subject ID]],Subjects!A:A,Subjects!B:B)</f>
        <v>0</v>
      </c>
      <c r="F75" s="84"/>
      <c r="G75" s="84"/>
      <c r="H75" s="84"/>
      <c r="I75" s="84"/>
      <c r="J75" s="84"/>
      <c r="K75" s="76">
        <f>SUM(Brushsheet[[#This Row],[1st CA]:[Exam Score]])</f>
        <v>0</v>
      </c>
      <c r="L7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6" spans="1:13" x14ac:dyDescent="0.25">
      <c r="A76" s="84"/>
      <c r="B7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6" s="76">
        <f>_xlfn.XLOOKUP(Brushsheet[[#This Row],[Student ID]],Students!A:A,Students!J:J)</f>
        <v>0</v>
      </c>
      <c r="D76" s="84"/>
      <c r="E76" s="76">
        <f>_xlfn.XLOOKUP(Brushsheet[[#This Row],[Subject ID]],Subjects!A:A,Subjects!B:B)</f>
        <v>0</v>
      </c>
      <c r="F76" s="84"/>
      <c r="G76" s="84"/>
      <c r="H76" s="84"/>
      <c r="I76" s="84"/>
      <c r="J76" s="84"/>
      <c r="K76" s="76">
        <f>SUM(Brushsheet[[#This Row],[1st CA]:[Exam Score]])</f>
        <v>0</v>
      </c>
      <c r="L7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7" spans="1:13" x14ac:dyDescent="0.25">
      <c r="A77" s="84"/>
      <c r="B7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7" s="76">
        <f>_xlfn.XLOOKUP(Brushsheet[[#This Row],[Student ID]],Students!A:A,Students!J:J)</f>
        <v>0</v>
      </c>
      <c r="D77" s="84"/>
      <c r="E77" s="76">
        <f>_xlfn.XLOOKUP(Brushsheet[[#This Row],[Subject ID]],Subjects!A:A,Subjects!B:B)</f>
        <v>0</v>
      </c>
      <c r="F77" s="84"/>
      <c r="G77" s="84"/>
      <c r="H77" s="84"/>
      <c r="I77" s="84"/>
      <c r="J77" s="84"/>
      <c r="K77" s="76">
        <f>SUM(Brushsheet[[#This Row],[1st CA]:[Exam Score]])</f>
        <v>0</v>
      </c>
      <c r="L7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8" spans="1:13" x14ac:dyDescent="0.25">
      <c r="A78" s="84"/>
      <c r="B7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8" s="76">
        <f>_xlfn.XLOOKUP(Brushsheet[[#This Row],[Student ID]],Students!A:A,Students!J:J)</f>
        <v>0</v>
      </c>
      <c r="D78" s="84"/>
      <c r="E78" s="76">
        <f>_xlfn.XLOOKUP(Brushsheet[[#This Row],[Subject ID]],Subjects!A:A,Subjects!B:B)</f>
        <v>0</v>
      </c>
      <c r="F78" s="84"/>
      <c r="G78" s="84"/>
      <c r="H78" s="84"/>
      <c r="I78" s="84"/>
      <c r="J78" s="84"/>
      <c r="K78" s="76">
        <f>SUM(Brushsheet[[#This Row],[1st CA]:[Exam Score]])</f>
        <v>0</v>
      </c>
      <c r="L7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9" spans="1:13" x14ac:dyDescent="0.25">
      <c r="A79" s="84"/>
      <c r="B7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9" s="76">
        <f>_xlfn.XLOOKUP(Brushsheet[[#This Row],[Student ID]],Students!A:A,Students!J:J)</f>
        <v>0</v>
      </c>
      <c r="D79" s="84"/>
      <c r="E79" s="76">
        <f>_xlfn.XLOOKUP(Brushsheet[[#This Row],[Subject ID]],Subjects!A:A,Subjects!B:B)</f>
        <v>0</v>
      </c>
      <c r="F79" s="84"/>
      <c r="G79" s="84"/>
      <c r="H79" s="84"/>
      <c r="I79" s="84"/>
      <c r="J79" s="84"/>
      <c r="K79" s="76">
        <f>SUM(Brushsheet[[#This Row],[1st CA]:[Exam Score]])</f>
        <v>0</v>
      </c>
      <c r="L7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0" spans="1:13" x14ac:dyDescent="0.25">
      <c r="A80" s="84"/>
      <c r="B8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0" s="76">
        <f>_xlfn.XLOOKUP(Brushsheet[[#This Row],[Student ID]],Students!A:A,Students!J:J)</f>
        <v>0</v>
      </c>
      <c r="D80" s="84"/>
      <c r="E80" s="76">
        <f>_xlfn.XLOOKUP(Brushsheet[[#This Row],[Subject ID]],Subjects!A:A,Subjects!B:B)</f>
        <v>0</v>
      </c>
      <c r="F80" s="84"/>
      <c r="G80" s="84"/>
      <c r="H80" s="84"/>
      <c r="I80" s="84"/>
      <c r="J80" s="84"/>
      <c r="K80" s="76">
        <f>SUM(Brushsheet[[#This Row],[1st CA]:[Exam Score]])</f>
        <v>0</v>
      </c>
      <c r="L8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1" spans="1:13" x14ac:dyDescent="0.25">
      <c r="A81" s="84"/>
      <c r="B8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1" s="76">
        <f>_xlfn.XLOOKUP(Brushsheet[[#This Row],[Student ID]],Students!A:A,Students!J:J)</f>
        <v>0</v>
      </c>
      <c r="D81" s="84"/>
      <c r="E81" s="76">
        <f>_xlfn.XLOOKUP(Brushsheet[[#This Row],[Subject ID]],Subjects!A:A,Subjects!B:B)</f>
        <v>0</v>
      </c>
      <c r="F81" s="84"/>
      <c r="G81" s="84"/>
      <c r="H81" s="84"/>
      <c r="I81" s="84"/>
      <c r="J81" s="84"/>
      <c r="K81" s="76">
        <f>SUM(Brushsheet[[#This Row],[1st CA]:[Exam Score]])</f>
        <v>0</v>
      </c>
      <c r="L8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2" spans="1:13" x14ac:dyDescent="0.25">
      <c r="A82" s="84"/>
      <c r="B8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2" s="76">
        <f>_xlfn.XLOOKUP(Brushsheet[[#This Row],[Student ID]],Students!A:A,Students!J:J)</f>
        <v>0</v>
      </c>
      <c r="D82" s="84"/>
      <c r="E82" s="76">
        <f>_xlfn.XLOOKUP(Brushsheet[[#This Row],[Subject ID]],Subjects!A:A,Subjects!B:B)</f>
        <v>0</v>
      </c>
      <c r="F82" s="84"/>
      <c r="G82" s="84"/>
      <c r="H82" s="84"/>
      <c r="I82" s="84"/>
      <c r="J82" s="84"/>
      <c r="K82" s="76">
        <f>SUM(Brushsheet[[#This Row],[1st CA]:[Exam Score]])</f>
        <v>0</v>
      </c>
      <c r="L8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3" spans="1:13" x14ac:dyDescent="0.25">
      <c r="A83" s="84"/>
      <c r="B8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3" s="76">
        <f>_xlfn.XLOOKUP(Brushsheet[[#This Row],[Student ID]],Students!A:A,Students!J:J)</f>
        <v>0</v>
      </c>
      <c r="D83" s="84"/>
      <c r="E83" s="76">
        <f>_xlfn.XLOOKUP(Brushsheet[[#This Row],[Subject ID]],Subjects!A:A,Subjects!B:B)</f>
        <v>0</v>
      </c>
      <c r="F83" s="84"/>
      <c r="G83" s="84"/>
      <c r="H83" s="84"/>
      <c r="I83" s="84"/>
      <c r="J83" s="84"/>
      <c r="K83" s="76">
        <f>SUM(Brushsheet[[#This Row],[1st CA]:[Exam Score]])</f>
        <v>0</v>
      </c>
      <c r="L8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4" spans="1:13" x14ac:dyDescent="0.25">
      <c r="A84" s="84"/>
      <c r="B8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4" s="76">
        <f>_xlfn.XLOOKUP(Brushsheet[[#This Row],[Student ID]],Students!A:A,Students!J:J)</f>
        <v>0</v>
      </c>
      <c r="D84" s="84"/>
      <c r="E84" s="76">
        <f>_xlfn.XLOOKUP(Brushsheet[[#This Row],[Subject ID]],Subjects!A:A,Subjects!B:B)</f>
        <v>0</v>
      </c>
      <c r="F84" s="84"/>
      <c r="G84" s="84"/>
      <c r="H84" s="84"/>
      <c r="I84" s="84"/>
      <c r="J84" s="84"/>
      <c r="K84" s="76">
        <f>SUM(Brushsheet[[#This Row],[1st CA]:[Exam Score]])</f>
        <v>0</v>
      </c>
      <c r="L8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5" spans="1:13" x14ac:dyDescent="0.25">
      <c r="A85" s="84"/>
      <c r="B8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5" s="76">
        <f>_xlfn.XLOOKUP(Brushsheet[[#This Row],[Student ID]],Students!A:A,Students!J:J)</f>
        <v>0</v>
      </c>
      <c r="D85" s="84"/>
      <c r="E85" s="76">
        <f>_xlfn.XLOOKUP(Brushsheet[[#This Row],[Subject ID]],Subjects!A:A,Subjects!B:B)</f>
        <v>0</v>
      </c>
      <c r="F85" s="84"/>
      <c r="G85" s="84"/>
      <c r="H85" s="84"/>
      <c r="I85" s="84"/>
      <c r="J85" s="84"/>
      <c r="K85" s="76">
        <f>SUM(Brushsheet[[#This Row],[1st CA]:[Exam Score]])</f>
        <v>0</v>
      </c>
      <c r="L8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6" spans="1:13" x14ac:dyDescent="0.25">
      <c r="A86" s="84"/>
      <c r="B8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6" s="76">
        <f>_xlfn.XLOOKUP(Brushsheet[[#This Row],[Student ID]],Students!A:A,Students!J:J)</f>
        <v>0</v>
      </c>
      <c r="D86" s="84"/>
      <c r="E86" s="76">
        <f>_xlfn.XLOOKUP(Brushsheet[[#This Row],[Subject ID]],Subjects!A:A,Subjects!B:B)</f>
        <v>0</v>
      </c>
      <c r="F86" s="84"/>
      <c r="G86" s="84"/>
      <c r="H86" s="84"/>
      <c r="I86" s="84"/>
      <c r="J86" s="84"/>
      <c r="K86" s="76">
        <f>SUM(Brushsheet[[#This Row],[1st CA]:[Exam Score]])</f>
        <v>0</v>
      </c>
      <c r="L8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7" spans="1:13" x14ac:dyDescent="0.25">
      <c r="A87" s="84"/>
      <c r="B8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7" s="76">
        <f>_xlfn.XLOOKUP(Brushsheet[[#This Row],[Student ID]],Students!A:A,Students!J:J)</f>
        <v>0</v>
      </c>
      <c r="D87" s="84"/>
      <c r="E87" s="76">
        <f>_xlfn.XLOOKUP(Brushsheet[[#This Row],[Subject ID]],Subjects!A:A,Subjects!B:B)</f>
        <v>0</v>
      </c>
      <c r="F87" s="84"/>
      <c r="G87" s="84"/>
      <c r="H87" s="84"/>
      <c r="I87" s="84"/>
      <c r="J87" s="84"/>
      <c r="K87" s="76">
        <f>SUM(Brushsheet[[#This Row],[1st CA]:[Exam Score]])</f>
        <v>0</v>
      </c>
      <c r="L8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8" spans="1:13" x14ac:dyDescent="0.25">
      <c r="A88" s="84"/>
      <c r="B8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8" s="76">
        <f>_xlfn.XLOOKUP(Brushsheet[[#This Row],[Student ID]],Students!A:A,Students!J:J)</f>
        <v>0</v>
      </c>
      <c r="D88" s="84"/>
      <c r="E88" s="76">
        <f>_xlfn.XLOOKUP(Brushsheet[[#This Row],[Subject ID]],Subjects!A:A,Subjects!B:B)</f>
        <v>0</v>
      </c>
      <c r="F88" s="84"/>
      <c r="G88" s="84"/>
      <c r="H88" s="84"/>
      <c r="I88" s="84"/>
      <c r="J88" s="84"/>
      <c r="K88" s="76">
        <f>SUM(Brushsheet[[#This Row],[1st CA]:[Exam Score]])</f>
        <v>0</v>
      </c>
      <c r="L8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9" spans="1:13" x14ac:dyDescent="0.25">
      <c r="A89" s="84"/>
      <c r="B8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9" s="76">
        <f>_xlfn.XLOOKUP(Brushsheet[[#This Row],[Student ID]],Students!A:A,Students!J:J)</f>
        <v>0</v>
      </c>
      <c r="D89" s="84"/>
      <c r="E89" s="76">
        <f>_xlfn.XLOOKUP(Brushsheet[[#This Row],[Subject ID]],Subjects!A:A,Subjects!B:B)</f>
        <v>0</v>
      </c>
      <c r="F89" s="84"/>
      <c r="G89" s="84"/>
      <c r="H89" s="84"/>
      <c r="I89" s="84"/>
      <c r="J89" s="84"/>
      <c r="K89" s="76">
        <f>SUM(Brushsheet[[#This Row],[1st CA]:[Exam Score]])</f>
        <v>0</v>
      </c>
      <c r="L8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0" spans="1:13" x14ac:dyDescent="0.25">
      <c r="A90" s="84"/>
      <c r="B9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0" s="76">
        <f>_xlfn.XLOOKUP(Brushsheet[[#This Row],[Student ID]],Students!A:A,Students!J:J)</f>
        <v>0</v>
      </c>
      <c r="D90" s="84"/>
      <c r="E90" s="76">
        <f>_xlfn.XLOOKUP(Brushsheet[[#This Row],[Subject ID]],Subjects!A:A,Subjects!B:B)</f>
        <v>0</v>
      </c>
      <c r="F90" s="84"/>
      <c r="G90" s="84"/>
      <c r="H90" s="84"/>
      <c r="I90" s="84"/>
      <c r="J90" s="84"/>
      <c r="K90" s="76">
        <f>SUM(Brushsheet[[#This Row],[1st CA]:[Exam Score]])</f>
        <v>0</v>
      </c>
      <c r="L9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1" spans="1:13" x14ac:dyDescent="0.25">
      <c r="A91" s="84"/>
      <c r="B9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1" s="76">
        <f>_xlfn.XLOOKUP(Brushsheet[[#This Row],[Student ID]],Students!A:A,Students!J:J)</f>
        <v>0</v>
      </c>
      <c r="D91" s="84"/>
      <c r="E91" s="76">
        <f>_xlfn.XLOOKUP(Brushsheet[[#This Row],[Subject ID]],Subjects!A:A,Subjects!B:B)</f>
        <v>0</v>
      </c>
      <c r="F91" s="84"/>
      <c r="G91" s="84"/>
      <c r="H91" s="84"/>
      <c r="I91" s="84"/>
      <c r="J91" s="84"/>
      <c r="K91" s="76">
        <f>SUM(Brushsheet[[#This Row],[1st CA]:[Exam Score]])</f>
        <v>0</v>
      </c>
      <c r="L9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2" spans="1:13" x14ac:dyDescent="0.25">
      <c r="A92" s="84"/>
      <c r="B9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2" s="76">
        <f>_xlfn.XLOOKUP(Brushsheet[[#This Row],[Student ID]],Students!A:A,Students!J:J)</f>
        <v>0</v>
      </c>
      <c r="D92" s="84"/>
      <c r="E92" s="76">
        <f>_xlfn.XLOOKUP(Brushsheet[[#This Row],[Subject ID]],Subjects!A:A,Subjects!B:B)</f>
        <v>0</v>
      </c>
      <c r="F92" s="84"/>
      <c r="G92" s="84"/>
      <c r="H92" s="84"/>
      <c r="I92" s="84"/>
      <c r="J92" s="84"/>
      <c r="K92" s="76">
        <f>SUM(Brushsheet[[#This Row],[1st CA]:[Exam Score]])</f>
        <v>0</v>
      </c>
      <c r="L9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3" spans="1:13" x14ac:dyDescent="0.25">
      <c r="A93" s="84"/>
      <c r="B9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3" s="76">
        <f>_xlfn.XLOOKUP(Brushsheet[[#This Row],[Student ID]],Students!A:A,Students!J:J)</f>
        <v>0</v>
      </c>
      <c r="D93" s="84"/>
      <c r="E93" s="76">
        <f>_xlfn.XLOOKUP(Brushsheet[[#This Row],[Subject ID]],Subjects!A:A,Subjects!B:B)</f>
        <v>0</v>
      </c>
      <c r="F93" s="84"/>
      <c r="G93" s="84"/>
      <c r="H93" s="84"/>
      <c r="I93" s="84"/>
      <c r="J93" s="84"/>
      <c r="K93" s="76">
        <f>SUM(Brushsheet[[#This Row],[1st CA]:[Exam Score]])</f>
        <v>0</v>
      </c>
      <c r="L9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4" spans="1:13" x14ac:dyDescent="0.25">
      <c r="A94" s="84"/>
      <c r="B9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4" s="76">
        <f>_xlfn.XLOOKUP(Brushsheet[[#This Row],[Student ID]],Students!A:A,Students!J:J)</f>
        <v>0</v>
      </c>
      <c r="D94" s="84"/>
      <c r="E94" s="76">
        <f>_xlfn.XLOOKUP(Brushsheet[[#This Row],[Subject ID]],Subjects!A:A,Subjects!B:B)</f>
        <v>0</v>
      </c>
      <c r="F94" s="84"/>
      <c r="G94" s="84"/>
      <c r="H94" s="84"/>
      <c r="I94" s="84"/>
      <c r="J94" s="84"/>
      <c r="K94" s="76">
        <f>SUM(Brushsheet[[#This Row],[1st CA]:[Exam Score]])</f>
        <v>0</v>
      </c>
      <c r="L9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5" spans="1:13" x14ac:dyDescent="0.25">
      <c r="A95" s="84"/>
      <c r="B9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5" s="76">
        <f>_xlfn.XLOOKUP(Brushsheet[[#This Row],[Student ID]],Students!A:A,Students!J:J)</f>
        <v>0</v>
      </c>
      <c r="D95" s="84"/>
      <c r="E95" s="76">
        <f>_xlfn.XLOOKUP(Brushsheet[[#This Row],[Subject ID]],Subjects!A:A,Subjects!B:B)</f>
        <v>0</v>
      </c>
      <c r="F95" s="84"/>
      <c r="G95" s="84"/>
      <c r="H95" s="84"/>
      <c r="I95" s="84"/>
      <c r="J95" s="84"/>
      <c r="K95" s="76">
        <f>SUM(Brushsheet[[#This Row],[1st CA]:[Exam Score]])</f>
        <v>0</v>
      </c>
      <c r="L9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6" spans="1:13" x14ac:dyDescent="0.25">
      <c r="A96" s="84"/>
      <c r="B9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6" s="76">
        <f>_xlfn.XLOOKUP(Brushsheet[[#This Row],[Student ID]],Students!A:A,Students!J:J)</f>
        <v>0</v>
      </c>
      <c r="D96" s="84"/>
      <c r="E96" s="76">
        <f>_xlfn.XLOOKUP(Brushsheet[[#This Row],[Subject ID]],Subjects!A:A,Subjects!B:B)</f>
        <v>0</v>
      </c>
      <c r="F96" s="84"/>
      <c r="G96" s="84"/>
      <c r="H96" s="84"/>
      <c r="I96" s="84"/>
      <c r="J96" s="84"/>
      <c r="K96" s="76">
        <f>SUM(Brushsheet[[#This Row],[1st CA]:[Exam Score]])</f>
        <v>0</v>
      </c>
      <c r="L9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7" spans="1:13" x14ac:dyDescent="0.25">
      <c r="A97" s="84"/>
      <c r="B9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7" s="76">
        <f>_xlfn.XLOOKUP(Brushsheet[[#This Row],[Student ID]],Students!A:A,Students!J:J)</f>
        <v>0</v>
      </c>
      <c r="D97" s="84"/>
      <c r="E97" s="76">
        <f>_xlfn.XLOOKUP(Brushsheet[[#This Row],[Subject ID]],Subjects!A:A,Subjects!B:B)</f>
        <v>0</v>
      </c>
      <c r="F97" s="84"/>
      <c r="G97" s="84"/>
      <c r="H97" s="84"/>
      <c r="I97" s="84"/>
      <c r="J97" s="84"/>
      <c r="K97" s="76">
        <f>SUM(Brushsheet[[#This Row],[1st CA]:[Exam Score]])</f>
        <v>0</v>
      </c>
      <c r="L9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8" spans="1:13" x14ac:dyDescent="0.25">
      <c r="A98" s="84"/>
      <c r="B9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8" s="76">
        <f>_xlfn.XLOOKUP(Brushsheet[[#This Row],[Student ID]],Students!A:A,Students!J:J)</f>
        <v>0</v>
      </c>
      <c r="D98" s="84"/>
      <c r="E98" s="76">
        <f>_xlfn.XLOOKUP(Brushsheet[[#This Row],[Subject ID]],Subjects!A:A,Subjects!B:B)</f>
        <v>0</v>
      </c>
      <c r="F98" s="84"/>
      <c r="G98" s="84"/>
      <c r="H98" s="84"/>
      <c r="I98" s="84"/>
      <c r="J98" s="84"/>
      <c r="K98" s="76">
        <f>SUM(Brushsheet[[#This Row],[1st CA]:[Exam Score]])</f>
        <v>0</v>
      </c>
      <c r="L9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9" spans="1:13" x14ac:dyDescent="0.25">
      <c r="A99" s="84"/>
      <c r="B9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9" s="76">
        <f>_xlfn.XLOOKUP(Brushsheet[[#This Row],[Student ID]],Students!A:A,Students!J:J)</f>
        <v>0</v>
      </c>
      <c r="D99" s="84"/>
      <c r="E99" s="76">
        <f>_xlfn.XLOOKUP(Brushsheet[[#This Row],[Subject ID]],Subjects!A:A,Subjects!B:B)</f>
        <v>0</v>
      </c>
      <c r="F99" s="84"/>
      <c r="G99" s="84"/>
      <c r="H99" s="84"/>
      <c r="I99" s="84"/>
      <c r="J99" s="84"/>
      <c r="K99" s="76">
        <f>SUM(Brushsheet[[#This Row],[1st CA]:[Exam Score]])</f>
        <v>0</v>
      </c>
      <c r="L9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00" spans="1:13" x14ac:dyDescent="0.25">
      <c r="A100" s="84"/>
      <c r="B10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00" s="76">
        <f>_xlfn.XLOOKUP(Brushsheet[[#This Row],[Student ID]],Students!A:A,Students!J:J)</f>
        <v>0</v>
      </c>
      <c r="D100" s="84"/>
      <c r="E100" s="76">
        <f>_xlfn.XLOOKUP(Brushsheet[[#This Row],[Subject ID]],Subjects!A:A,Subjects!B:B)</f>
        <v>0</v>
      </c>
      <c r="F100" s="84"/>
      <c r="G100" s="84"/>
      <c r="H100" s="84"/>
      <c r="I100" s="84"/>
      <c r="J100" s="84"/>
      <c r="K100" s="76">
        <f>SUM(Brushsheet[[#This Row],[1st CA]:[Exam Score]])</f>
        <v>0</v>
      </c>
      <c r="L10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0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01" spans="1:13" x14ac:dyDescent="0.25">
      <c r="A101" s="84"/>
      <c r="B10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01" s="76">
        <f>_xlfn.XLOOKUP(Brushsheet[[#This Row],[Student ID]],Students!A:A,Students!J:J)</f>
        <v>0</v>
      </c>
      <c r="D101" s="84"/>
      <c r="E101" s="76">
        <f>_xlfn.XLOOKUP(Brushsheet[[#This Row],[Subject ID]],Subjects!A:A,Subjects!B:B)</f>
        <v>0</v>
      </c>
      <c r="F101" s="84"/>
      <c r="G101" s="84"/>
      <c r="H101" s="84"/>
      <c r="I101" s="84"/>
      <c r="J101" s="84"/>
      <c r="K101" s="76">
        <f>SUM(Brushsheet[[#This Row],[1st CA]:[Exam Score]])</f>
        <v>0</v>
      </c>
      <c r="L10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0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</sheetData>
  <sheetProtection sheet="1" objects="1" scenarios="1"/>
  <phoneticPr fontId="47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EAC8-0D43-474A-8BAB-8748537E3EC3}">
  <dimension ref="B2:J25"/>
  <sheetViews>
    <sheetView zoomScale="79" workbookViewId="0">
      <selection activeCell="C25" sqref="C25:G25"/>
    </sheetView>
  </sheetViews>
  <sheetFormatPr defaultRowHeight="15" x14ac:dyDescent="0.25"/>
  <cols>
    <col min="2" max="2" width="13" customWidth="1"/>
    <col min="3" max="3" width="20.5703125" bestFit="1" customWidth="1"/>
    <col min="4" max="4" width="11" customWidth="1"/>
    <col min="5" max="5" width="12.28515625" bestFit="1" customWidth="1"/>
    <col min="6" max="6" width="13.5703125" customWidth="1"/>
    <col min="7" max="7" width="11" customWidth="1"/>
    <col min="8" max="8" width="13.7109375" bestFit="1" customWidth="1"/>
    <col min="9" max="9" width="11" customWidth="1"/>
    <col min="10" max="10" width="9.85546875" customWidth="1"/>
    <col min="11" max="11" width="15.85546875" customWidth="1"/>
  </cols>
  <sheetData>
    <row r="2" spans="2:10" x14ac:dyDescent="0.25">
      <c r="B2" t="s">
        <v>0</v>
      </c>
      <c r="C2" s="89" t="s">
        <v>72</v>
      </c>
      <c r="D2" s="89" t="s">
        <v>16</v>
      </c>
      <c r="E2" s="89" t="s">
        <v>45</v>
      </c>
      <c r="F2" s="89" t="s">
        <v>5</v>
      </c>
      <c r="G2" s="89" t="s">
        <v>3</v>
      </c>
    </row>
    <row r="3" spans="2:10" x14ac:dyDescent="0.25">
      <c r="B3" s="84"/>
      <c r="C3" s="76" t="str">
        <f>CONCATENATE((_xlfn.XLOOKUP(Table1[[#This Row],[Student_ID]],Students!A:A,Students!E:E))," ",(_xlfn.XLOOKUP(Table1[[#This Row],[Student_ID]],Students!A:A,Students!C:C))," ",(_xlfn.XLOOKUP(Table1[[#This Row],[Student_ID]],Students!A:A,Students!D:D)))</f>
        <v xml:space="preserve">  </v>
      </c>
      <c r="D3" s="84"/>
      <c r="E3" s="84"/>
      <c r="F3" s="76">
        <f>_xlfn.XLOOKUP(Table1[[#This Row],[Student_ID]],Students!A:A,Students!J:J)</f>
        <v>0</v>
      </c>
      <c r="G3" s="76" t="e">
        <f>VLOOKUP(Table1[[#This Row],[Student_ID]],Students!A:F,6,FALSE)</f>
        <v>#N/A</v>
      </c>
    </row>
    <row r="4" spans="2:10" x14ac:dyDescent="0.25">
      <c r="B4" t="s">
        <v>15</v>
      </c>
      <c r="C4" t="s">
        <v>73</v>
      </c>
      <c r="D4" t="s">
        <v>74</v>
      </c>
      <c r="E4" t="s">
        <v>46</v>
      </c>
      <c r="F4" t="s">
        <v>47</v>
      </c>
      <c r="G4" t="s">
        <v>48</v>
      </c>
      <c r="H4" t="s">
        <v>17</v>
      </c>
      <c r="I4" t="s">
        <v>75</v>
      </c>
      <c r="J4" t="s">
        <v>49</v>
      </c>
    </row>
    <row r="5" spans="2:10" x14ac:dyDescent="0.25">
      <c r="B5" s="76" cm="1">
        <f t="array" ref="B5">IFERROR(INDEX(Brushsheet!E:E,SMALL(IF(Brushsheet!A:A=Table1[Student_ID],ROW(Brushsheet!A:A)),ROW(A1))),"")</f>
        <v>0</v>
      </c>
      <c r="C5" s="76" cm="1">
        <f t="array" ref="C5">_xlfn.XLOOKUP(1,(Brushsheet!A:A=Table1[Student_ID])*(Brushsheet!E:E=Result[[#This Row],[Subject_Name]]),Brushsheet!G:G,"")</f>
        <v>0</v>
      </c>
      <c r="D5" s="76" cm="1">
        <f t="array" ref="D5">_xlfn.XLOOKUP(1,(Brushsheet!A:A=Table1[Student_ID])*(Brushsheet!E:E=Result[[#This Row],[Subject_Name]]),Brushsheet!H:H,"")</f>
        <v>0</v>
      </c>
      <c r="E5" s="76" cm="1">
        <f t="array" ref="E5">_xlfn.XLOOKUP(1,(Brushsheet!A:A=Table1[Student_ID])*(Brushsheet!E:E=Result[[#This Row],[Subject_Name]]),Brushsheet!I:I,"")</f>
        <v>0</v>
      </c>
      <c r="F5" s="76" cm="1">
        <f t="array" ref="F5">_xlfn.XLOOKUP(1,(Brushsheet!A:A=Table1[Student_ID])*(Brushsheet!E:E=Result[[#This Row],[Subject_Name]]),Brushsheet!J:J,"")</f>
        <v>0</v>
      </c>
      <c r="G5" s="76">
        <f t="shared" ref="G5:G24" si="0">SUM(C5:F5)</f>
        <v>0</v>
      </c>
      <c r="H5" s="76" t="str" cm="1">
        <f t="array" ref="H5">_xlfn.XLOOKUP(1,(Brushsheet!A:A=Table1[Student_ID])*(Brushsheet!E:E=Result[[#This Row],[Subject_Name]]),Brushsheet!L:L,"")</f>
        <v>F</v>
      </c>
      <c r="I5" s="76" t="str" cm="1">
        <f t="array" ref="I5">_xlfn.XLOOKUP(1,(Brushsheet!A:A=Table1[Student_ID])*(Brushsheet!E:E=Result[[#This Row],[Subject_Name]]),Brushsheet!M:M,"")</f>
        <v>Weak</v>
      </c>
      <c r="J5" s="76"/>
    </row>
    <row r="6" spans="2:10" x14ac:dyDescent="0.25">
      <c r="B6" s="76" cm="1">
        <f t="array" ref="B6">IFERROR(INDEX(Brushsheet!E:E,SMALL(IF(Brushsheet!A:A=Table1[Student_ID],ROW(Brushsheet!A:A)),ROW(A2))),"")</f>
        <v>0</v>
      </c>
      <c r="C6" s="76" cm="1">
        <f t="array" ref="C6">_xlfn.XLOOKUP(1,(Brushsheet!A:A=Table1[Student_ID])*(Brushsheet!E:E=Result[[#This Row],[Subject_Name]]),Brushsheet!G:G,"")</f>
        <v>0</v>
      </c>
      <c r="D6" s="76" cm="1">
        <f t="array" ref="D6">_xlfn.XLOOKUP(1,(Brushsheet!A:A=Table1[Student_ID])*(Brushsheet!E:E=Result[[#This Row],[Subject_Name]]),Brushsheet!H:H,"")</f>
        <v>0</v>
      </c>
      <c r="E6" s="76" cm="1">
        <f t="array" ref="E6">_xlfn.XLOOKUP(1,(Brushsheet!A:A=Table1[Student_ID])*(Brushsheet!E:E=Result[[#This Row],[Subject_Name]]),Brushsheet!I:I,"")</f>
        <v>0</v>
      </c>
      <c r="F6" s="76" cm="1">
        <f t="array" ref="F6">_xlfn.XLOOKUP(1,(Brushsheet!A:A=Table1[Student_ID])*(Brushsheet!E:E=Result[[#This Row],[Subject_Name]]),Brushsheet!J:J,"")</f>
        <v>0</v>
      </c>
      <c r="G6" s="76">
        <f t="shared" si="0"/>
        <v>0</v>
      </c>
      <c r="H6" s="76" t="str" cm="1">
        <f t="array" ref="H6">_xlfn.XLOOKUP(1,(Brushsheet!A:A=Table1[Student_ID])*(Brushsheet!E:E=Result[[#This Row],[Subject_Name]]),Brushsheet!L:L,"")</f>
        <v>F</v>
      </c>
      <c r="I6" s="76" t="str" cm="1">
        <f t="array" ref="I6">_xlfn.XLOOKUP(1,(Brushsheet!A:A=Table1[Student_ID])*(Brushsheet!E:E=Result[[#This Row],[Subject_Name]]),Brushsheet!M:M,"")</f>
        <v>Weak</v>
      </c>
      <c r="J6" s="76"/>
    </row>
    <row r="7" spans="2:10" x14ac:dyDescent="0.25">
      <c r="B7" s="76" cm="1">
        <f t="array" ref="B7">IFERROR(INDEX(Brushsheet!E:E,SMALL(IF(Brushsheet!A:A=Table1[Student_ID],ROW(Brushsheet!A:A)),ROW(A3))),"")</f>
        <v>0</v>
      </c>
      <c r="C7" s="76" cm="1">
        <f t="array" ref="C7">_xlfn.XLOOKUP(1,(Brushsheet!A:A=Table1[Student_ID])*(Brushsheet!E:E=Result[[#This Row],[Subject_Name]]),Brushsheet!G:G,"")</f>
        <v>0</v>
      </c>
      <c r="D7" s="76" cm="1">
        <f t="array" ref="D7">_xlfn.XLOOKUP(1,(Brushsheet!A:A=Table1[Student_ID])*(Brushsheet!E:E=Result[[#This Row],[Subject_Name]]),Brushsheet!H:H,"")</f>
        <v>0</v>
      </c>
      <c r="E7" s="76" cm="1">
        <f t="array" ref="E7">_xlfn.XLOOKUP(1,(Brushsheet!A:A=Table1[Student_ID])*(Brushsheet!E:E=Result[[#This Row],[Subject_Name]]),Brushsheet!I:I,"")</f>
        <v>0</v>
      </c>
      <c r="F7" s="76" cm="1">
        <f t="array" ref="F7">_xlfn.XLOOKUP(1,(Brushsheet!A:A=Table1[Student_ID])*(Brushsheet!E:E=Result[[#This Row],[Subject_Name]]),Brushsheet!J:J,"")</f>
        <v>0</v>
      </c>
      <c r="G7" s="76">
        <f t="shared" si="0"/>
        <v>0</v>
      </c>
      <c r="H7" s="76" t="str" cm="1">
        <f t="array" ref="H7">_xlfn.XLOOKUP(1,(Brushsheet!A:A=Table1[Student_ID])*(Brushsheet!E:E=Result[[#This Row],[Subject_Name]]),Brushsheet!L:L,"")</f>
        <v>F</v>
      </c>
      <c r="I7" s="76" t="str" cm="1">
        <f t="array" ref="I7">_xlfn.XLOOKUP(1,(Brushsheet!A:A=Table1[Student_ID])*(Brushsheet!E:E=Result[[#This Row],[Subject_Name]]),Brushsheet!M:M,"")</f>
        <v>Weak</v>
      </c>
      <c r="J7" s="76"/>
    </row>
    <row r="8" spans="2:10" x14ac:dyDescent="0.25">
      <c r="B8" s="76" cm="1">
        <f t="array" ref="B8">IFERROR(INDEX(Brushsheet!E:E,SMALL(IF(Brushsheet!A:A=Table1[Student_ID],ROW(Brushsheet!A:A)),ROW(A4))),"")</f>
        <v>0</v>
      </c>
      <c r="C8" s="76" cm="1">
        <f t="array" ref="C8">_xlfn.XLOOKUP(1,(Brushsheet!A:A=Table1[Student_ID])*(Brushsheet!E:E=Result[[#This Row],[Subject_Name]]),Brushsheet!G:G,"")</f>
        <v>0</v>
      </c>
      <c r="D8" s="76" cm="1">
        <f t="array" ref="D8">_xlfn.XLOOKUP(1,(Brushsheet!A:A=Table1[Student_ID])*(Brushsheet!E:E=Result[[#This Row],[Subject_Name]]),Brushsheet!H:H,"")</f>
        <v>0</v>
      </c>
      <c r="E8" s="76" cm="1">
        <f t="array" ref="E8">_xlfn.XLOOKUP(1,(Brushsheet!A:A=Table1[Student_ID])*(Brushsheet!E:E=Result[[#This Row],[Subject_Name]]),Brushsheet!I:I,"")</f>
        <v>0</v>
      </c>
      <c r="F8" s="76" cm="1">
        <f t="array" ref="F8">_xlfn.XLOOKUP(1,(Brushsheet!A:A=Table1[Student_ID])*(Brushsheet!E:E=Result[[#This Row],[Subject_Name]]),Brushsheet!J:J,"")</f>
        <v>0</v>
      </c>
      <c r="G8" s="76">
        <f t="shared" si="0"/>
        <v>0</v>
      </c>
      <c r="H8" s="76" t="str" cm="1">
        <f t="array" ref="H8">_xlfn.XLOOKUP(1,(Brushsheet!A:A=Table1[Student_ID])*(Brushsheet!E:E=Result[[#This Row],[Subject_Name]]),Brushsheet!L:L,"")</f>
        <v>F</v>
      </c>
      <c r="I8" s="76" t="str" cm="1">
        <f t="array" ref="I8">_xlfn.XLOOKUP(1,(Brushsheet!A:A=Table1[Student_ID])*(Brushsheet!E:E=Result[[#This Row],[Subject_Name]]),Brushsheet!M:M,"")</f>
        <v>Weak</v>
      </c>
      <c r="J8" s="76"/>
    </row>
    <row r="9" spans="2:10" x14ac:dyDescent="0.25">
      <c r="B9" s="76" cm="1">
        <f t="array" ref="B9">IFERROR(INDEX(Brushsheet!E:E,SMALL(IF(Brushsheet!A:A=Table1[Student_ID],ROW(Brushsheet!A:A)),ROW(A5))),"")</f>
        <v>0</v>
      </c>
      <c r="C9" s="76" cm="1">
        <f t="array" ref="C9">_xlfn.XLOOKUP(1,(Brushsheet!A:A=Table1[Student_ID])*(Brushsheet!E:E=Result[[#This Row],[Subject_Name]]),Brushsheet!G:G,"")</f>
        <v>0</v>
      </c>
      <c r="D9" s="76" cm="1">
        <f t="array" ref="D9">_xlfn.XLOOKUP(1,(Brushsheet!A:A=Table1[Student_ID])*(Brushsheet!E:E=Result[[#This Row],[Subject_Name]]),Brushsheet!H:H,"")</f>
        <v>0</v>
      </c>
      <c r="E9" s="76" cm="1">
        <f t="array" ref="E9">_xlfn.XLOOKUP(1,(Brushsheet!A:A=Table1[Student_ID])*(Brushsheet!E:E=Result[[#This Row],[Subject_Name]]),Brushsheet!I:I,"")</f>
        <v>0</v>
      </c>
      <c r="F9" s="76" cm="1">
        <f t="array" ref="F9">_xlfn.XLOOKUP(1,(Brushsheet!A:A=Table1[Student_ID])*(Brushsheet!E:E=Result[[#This Row],[Subject_Name]]),Brushsheet!J:J,"")</f>
        <v>0</v>
      </c>
      <c r="G9" s="76">
        <f t="shared" si="0"/>
        <v>0</v>
      </c>
      <c r="H9" s="76" t="str" cm="1">
        <f t="array" ref="H9">_xlfn.XLOOKUP(1,(Brushsheet!A:A=Table1[Student_ID])*(Brushsheet!E:E=Result[[#This Row],[Subject_Name]]),Brushsheet!L:L,"")</f>
        <v>F</v>
      </c>
      <c r="I9" s="76" t="str" cm="1">
        <f t="array" ref="I9">_xlfn.XLOOKUP(1,(Brushsheet!A:A=Table1[Student_ID])*(Brushsheet!E:E=Result[[#This Row],[Subject_Name]]),Brushsheet!M:M,"")</f>
        <v>Weak</v>
      </c>
      <c r="J9" s="76"/>
    </row>
    <row r="10" spans="2:10" x14ac:dyDescent="0.25">
      <c r="B10" s="76" cm="1">
        <f t="array" ref="B10">IFERROR(INDEX(Brushsheet!E:E,SMALL(IF(Brushsheet!A:A=Table1[Student_ID],ROW(Brushsheet!A:A)),ROW(A6))),"")</f>
        <v>0</v>
      </c>
      <c r="C10" s="76" cm="1">
        <f t="array" ref="C10">_xlfn.XLOOKUP(1,(Brushsheet!A:A=Table1[Student_ID])*(Brushsheet!E:E=Result[[#This Row],[Subject_Name]]),Brushsheet!G:G,"")</f>
        <v>0</v>
      </c>
      <c r="D10" s="76" cm="1">
        <f t="array" ref="D10">_xlfn.XLOOKUP(1,(Brushsheet!A:A=Table1[Student_ID])*(Brushsheet!E:E=Result[[#This Row],[Subject_Name]]),Brushsheet!H:H,"")</f>
        <v>0</v>
      </c>
      <c r="E10" s="76" cm="1">
        <f t="array" ref="E10">_xlfn.XLOOKUP(1,(Brushsheet!A:A=Table1[Student_ID])*(Brushsheet!E:E=Result[[#This Row],[Subject_Name]]),Brushsheet!I:I,"")</f>
        <v>0</v>
      </c>
      <c r="F10" s="76" cm="1">
        <f t="array" ref="F10">_xlfn.XLOOKUP(1,(Brushsheet!A:A=Table1[Student_ID])*(Brushsheet!E:E=Result[[#This Row],[Subject_Name]]),Brushsheet!J:J,"")</f>
        <v>0</v>
      </c>
      <c r="G10" s="76">
        <f t="shared" si="0"/>
        <v>0</v>
      </c>
      <c r="H10" s="76" t="str" cm="1">
        <f t="array" ref="H10">_xlfn.XLOOKUP(1,(Brushsheet!A:A=Table1[Student_ID])*(Brushsheet!E:E=Result[[#This Row],[Subject_Name]]),Brushsheet!L:L,"")</f>
        <v>F</v>
      </c>
      <c r="I10" s="76" t="str" cm="1">
        <f t="array" ref="I10">_xlfn.XLOOKUP(1,(Brushsheet!A:A=Table1[Student_ID])*(Brushsheet!E:E=Result[[#This Row],[Subject_Name]]),Brushsheet!M:M,"")</f>
        <v>Weak</v>
      </c>
      <c r="J10" s="76"/>
    </row>
    <row r="11" spans="2:10" x14ac:dyDescent="0.25">
      <c r="B11" s="76" cm="1">
        <f t="array" ref="B11">IFERROR(INDEX(Brushsheet!E:E,SMALL(IF(Brushsheet!A:A=Table1[Student_ID],ROW(Brushsheet!A:A)),ROW(A7))),"")</f>
        <v>0</v>
      </c>
      <c r="C11" s="76" cm="1">
        <f t="array" ref="C11">_xlfn.XLOOKUP(1,(Brushsheet!A:A=Table1[Student_ID])*(Brushsheet!E:E=Result[[#This Row],[Subject_Name]]),Brushsheet!G:G,"")</f>
        <v>0</v>
      </c>
      <c r="D11" s="76" cm="1">
        <f t="array" ref="D11">_xlfn.XLOOKUP(1,(Brushsheet!A:A=Table1[Student_ID])*(Brushsheet!E:E=Result[[#This Row],[Subject_Name]]),Brushsheet!H:H,"")</f>
        <v>0</v>
      </c>
      <c r="E11" s="76" cm="1">
        <f t="array" ref="E11">_xlfn.XLOOKUP(1,(Brushsheet!A:A=Table1[Student_ID])*(Brushsheet!E:E=Result[[#This Row],[Subject_Name]]),Brushsheet!I:I,"")</f>
        <v>0</v>
      </c>
      <c r="F11" s="76" cm="1">
        <f t="array" ref="F11">_xlfn.XLOOKUP(1,(Brushsheet!A:A=Table1[Student_ID])*(Brushsheet!E:E=Result[[#This Row],[Subject_Name]]),Brushsheet!J:J,"")</f>
        <v>0</v>
      </c>
      <c r="G11" s="76">
        <f t="shared" si="0"/>
        <v>0</v>
      </c>
      <c r="H11" s="76" t="str" cm="1">
        <f t="array" ref="H11">_xlfn.XLOOKUP(1,(Brushsheet!A:A=Table1[Student_ID])*(Brushsheet!E:E=Result[[#This Row],[Subject_Name]]),Brushsheet!L:L,"")</f>
        <v>F</v>
      </c>
      <c r="I11" s="76" t="str" cm="1">
        <f t="array" ref="I11">_xlfn.XLOOKUP(1,(Brushsheet!A:A=Table1[Student_ID])*(Brushsheet!E:E=Result[[#This Row],[Subject_Name]]),Brushsheet!M:M,"")</f>
        <v>Weak</v>
      </c>
      <c r="J11" s="76"/>
    </row>
    <row r="12" spans="2:10" x14ac:dyDescent="0.25">
      <c r="B12" s="76" cm="1">
        <f t="array" ref="B12">IFERROR(INDEX(Brushsheet!E:E,SMALL(IF(Brushsheet!A:A=Table1[Student_ID],ROW(Brushsheet!A:A)),ROW(A8))),"")</f>
        <v>0</v>
      </c>
      <c r="C12" s="76" cm="1">
        <f t="array" ref="C12">_xlfn.XLOOKUP(1,(Brushsheet!A:A=Table1[Student_ID])*(Brushsheet!E:E=Result[[#This Row],[Subject_Name]]),Brushsheet!G:G,"")</f>
        <v>0</v>
      </c>
      <c r="D12" s="76" cm="1">
        <f t="array" ref="D12">_xlfn.XLOOKUP(1,(Brushsheet!A:A=Table1[Student_ID])*(Brushsheet!E:E=Result[[#This Row],[Subject_Name]]),Brushsheet!H:H,"")</f>
        <v>0</v>
      </c>
      <c r="E12" s="76" cm="1">
        <f t="array" ref="E12">_xlfn.XLOOKUP(1,(Brushsheet!A:A=Table1[Student_ID])*(Brushsheet!E:E=Result[[#This Row],[Subject_Name]]),Brushsheet!I:I,"")</f>
        <v>0</v>
      </c>
      <c r="F12" s="76" cm="1">
        <f t="array" ref="F12">_xlfn.XLOOKUP(1,(Brushsheet!A:A=Table1[Student_ID])*(Brushsheet!E:E=Result[[#This Row],[Subject_Name]]),Brushsheet!J:J,"")</f>
        <v>0</v>
      </c>
      <c r="G12" s="76">
        <f t="shared" si="0"/>
        <v>0</v>
      </c>
      <c r="H12" s="76" t="str" cm="1">
        <f t="array" ref="H12">_xlfn.XLOOKUP(1,(Brushsheet!A:A=Table1[Student_ID])*(Brushsheet!E:E=Result[[#This Row],[Subject_Name]]),Brushsheet!L:L,"")</f>
        <v>F</v>
      </c>
      <c r="I12" s="76" t="str" cm="1">
        <f t="array" ref="I12">_xlfn.XLOOKUP(1,(Brushsheet!A:A=Table1[Student_ID])*(Brushsheet!E:E=Result[[#This Row],[Subject_Name]]),Brushsheet!M:M,"")</f>
        <v>Weak</v>
      </c>
      <c r="J12" s="76"/>
    </row>
    <row r="13" spans="2:10" x14ac:dyDescent="0.25">
      <c r="B13" s="76" cm="1">
        <f t="array" ref="B13">IFERROR(INDEX(Brushsheet!E:E,SMALL(IF(Brushsheet!A:A=Table1[Student_ID],ROW(Brushsheet!A:A)),ROW(A9))),"")</f>
        <v>0</v>
      </c>
      <c r="C13" s="76" cm="1">
        <f t="array" ref="C13">_xlfn.XLOOKUP(1,(Brushsheet!A:A=Table1[Student_ID])*(Brushsheet!E:E=Result[[#This Row],[Subject_Name]]),Brushsheet!G:G,"")</f>
        <v>0</v>
      </c>
      <c r="D13" s="76" cm="1">
        <f t="array" ref="D13">_xlfn.XLOOKUP(1,(Brushsheet!A:A=Table1[Student_ID])*(Brushsheet!E:E=Result[[#This Row],[Subject_Name]]),Brushsheet!H:H,"")</f>
        <v>0</v>
      </c>
      <c r="E13" s="76" cm="1">
        <f t="array" ref="E13">_xlfn.XLOOKUP(1,(Brushsheet!A:A=Table1[Student_ID])*(Brushsheet!E:E=Result[[#This Row],[Subject_Name]]),Brushsheet!I:I,"")</f>
        <v>0</v>
      </c>
      <c r="F13" s="76" cm="1">
        <f t="array" ref="F13">_xlfn.XLOOKUP(1,(Brushsheet!A:A=Table1[Student_ID])*(Brushsheet!E:E=Result[[#This Row],[Subject_Name]]),Brushsheet!J:J,"")</f>
        <v>0</v>
      </c>
      <c r="G13" s="76">
        <f t="shared" si="0"/>
        <v>0</v>
      </c>
      <c r="H13" s="76" t="str" cm="1">
        <f t="array" ref="H13">_xlfn.XLOOKUP(1,(Brushsheet!A:A=Table1[Student_ID])*(Brushsheet!E:E=Result[[#This Row],[Subject_Name]]),Brushsheet!L:L,"")</f>
        <v>F</v>
      </c>
      <c r="I13" s="76" t="str" cm="1">
        <f t="array" ref="I13">_xlfn.XLOOKUP(1,(Brushsheet!A:A=Table1[Student_ID])*(Brushsheet!E:E=Result[[#This Row],[Subject_Name]]),Brushsheet!M:M,"")</f>
        <v>Weak</v>
      </c>
      <c r="J13" s="76"/>
    </row>
    <row r="14" spans="2:10" x14ac:dyDescent="0.25">
      <c r="B14" s="76" cm="1">
        <f t="array" ref="B14">IFERROR(INDEX(Brushsheet!E:E,SMALL(IF(Brushsheet!A:A=Table1[Student_ID],ROW(Brushsheet!A:A)),ROW(A10))),"")</f>
        <v>0</v>
      </c>
      <c r="C14" s="76" cm="1">
        <f t="array" ref="C14">_xlfn.XLOOKUP(1,(Brushsheet!A:A=Table1[Student_ID])*(Brushsheet!E:E=Result[[#This Row],[Subject_Name]]),Brushsheet!G:G,"")</f>
        <v>0</v>
      </c>
      <c r="D14" s="76" cm="1">
        <f t="array" ref="D14">_xlfn.XLOOKUP(1,(Brushsheet!A:A=Table1[Student_ID])*(Brushsheet!E:E=Result[[#This Row],[Subject_Name]]),Brushsheet!H:H,"")</f>
        <v>0</v>
      </c>
      <c r="E14" s="76" cm="1">
        <f t="array" ref="E14">_xlfn.XLOOKUP(1,(Brushsheet!A:A=Table1[Student_ID])*(Brushsheet!E:E=Result[[#This Row],[Subject_Name]]),Brushsheet!I:I,"")</f>
        <v>0</v>
      </c>
      <c r="F14" s="76" cm="1">
        <f t="array" ref="F14">_xlfn.XLOOKUP(1,(Brushsheet!A:A=Table1[Student_ID])*(Brushsheet!E:E=Result[[#This Row],[Subject_Name]]),Brushsheet!J:J,"")</f>
        <v>0</v>
      </c>
      <c r="G14" s="76">
        <f t="shared" si="0"/>
        <v>0</v>
      </c>
      <c r="H14" s="76" t="str" cm="1">
        <f t="array" ref="H14">_xlfn.XLOOKUP(1,(Brushsheet!A:A=Table1[Student_ID])*(Brushsheet!E:E=Result[[#This Row],[Subject_Name]]),Brushsheet!L:L,"")</f>
        <v>F</v>
      </c>
      <c r="I14" s="76" t="str" cm="1">
        <f t="array" ref="I14">_xlfn.XLOOKUP(1,(Brushsheet!A:A=Table1[Student_ID])*(Brushsheet!E:E=Result[[#This Row],[Subject_Name]]),Brushsheet!M:M,"")</f>
        <v>Weak</v>
      </c>
      <c r="J14" s="76"/>
    </row>
    <row r="15" spans="2:10" x14ac:dyDescent="0.25">
      <c r="B15" s="76" cm="1">
        <f t="array" ref="B15">IFERROR(INDEX(Brushsheet!E:E,SMALL(IF(Brushsheet!A:A=Table1[Student_ID],ROW(Brushsheet!A:A)),ROW(A11))),"")</f>
        <v>0</v>
      </c>
      <c r="C15" s="76" cm="1">
        <f t="array" ref="C15">_xlfn.XLOOKUP(1,(Brushsheet!A:A=Table1[Student_ID])*(Brushsheet!E:E=Result[[#This Row],[Subject_Name]]),Brushsheet!G:G,"")</f>
        <v>0</v>
      </c>
      <c r="D15" s="76" cm="1">
        <f t="array" ref="D15">_xlfn.XLOOKUP(1,(Brushsheet!A:A=Table1[Student_ID])*(Brushsheet!E:E=Result[[#This Row],[Subject_Name]]),Brushsheet!H:H,"")</f>
        <v>0</v>
      </c>
      <c r="E15" s="76" cm="1">
        <f t="array" ref="E15">_xlfn.XLOOKUP(1,(Brushsheet!A:A=Table1[Student_ID])*(Brushsheet!E:E=Result[[#This Row],[Subject_Name]]),Brushsheet!I:I,"")</f>
        <v>0</v>
      </c>
      <c r="F15" s="76" cm="1">
        <f t="array" ref="F15">_xlfn.XLOOKUP(1,(Brushsheet!A:A=Table1[Student_ID])*(Brushsheet!E:E=Result[[#This Row],[Subject_Name]]),Brushsheet!J:J,"")</f>
        <v>0</v>
      </c>
      <c r="G15" s="76">
        <f t="shared" si="0"/>
        <v>0</v>
      </c>
      <c r="H15" s="76" t="str" cm="1">
        <f t="array" ref="H15">_xlfn.XLOOKUP(1,(Brushsheet!A:A=Table1[Student_ID])*(Brushsheet!E:E=Result[[#This Row],[Subject_Name]]),Brushsheet!L:L,"")</f>
        <v>F</v>
      </c>
      <c r="I15" s="76" t="str" cm="1">
        <f t="array" ref="I15">_xlfn.XLOOKUP(1,(Brushsheet!A:A=Table1[Student_ID])*(Brushsheet!E:E=Result[[#This Row],[Subject_Name]]),Brushsheet!M:M,"")</f>
        <v>Weak</v>
      </c>
      <c r="J15" s="76"/>
    </row>
    <row r="16" spans="2:10" x14ac:dyDescent="0.25">
      <c r="B16" s="76" cm="1">
        <f t="array" ref="B16">IFERROR(INDEX(Brushsheet!E:E,SMALL(IF(Brushsheet!A:A=Table1[Student_ID],ROW(Brushsheet!A:A)),ROW(A12))),"")</f>
        <v>0</v>
      </c>
      <c r="C16" s="76" cm="1">
        <f t="array" ref="C16">_xlfn.XLOOKUP(1,(Brushsheet!A:A=Table1[Student_ID])*(Brushsheet!E:E=Result[[#This Row],[Subject_Name]]),Brushsheet!G:G,"")</f>
        <v>0</v>
      </c>
      <c r="D16" s="76" cm="1">
        <f t="array" ref="D16">_xlfn.XLOOKUP(1,(Brushsheet!A:A=Table1[Student_ID])*(Brushsheet!E:E=Result[[#This Row],[Subject_Name]]),Brushsheet!H:H,"")</f>
        <v>0</v>
      </c>
      <c r="E16" s="76" cm="1">
        <f t="array" ref="E16">_xlfn.XLOOKUP(1,(Brushsheet!A:A=Table1[Student_ID])*(Brushsheet!E:E=Result[[#This Row],[Subject_Name]]),Brushsheet!I:I,"")</f>
        <v>0</v>
      </c>
      <c r="F16" s="76" cm="1">
        <f t="array" ref="F16">_xlfn.XLOOKUP(1,(Brushsheet!A:A=Table1[Student_ID])*(Brushsheet!E:E=Result[[#This Row],[Subject_Name]]),Brushsheet!J:J,"")</f>
        <v>0</v>
      </c>
      <c r="G16" s="76">
        <f t="shared" si="0"/>
        <v>0</v>
      </c>
      <c r="H16" s="76" t="str" cm="1">
        <f t="array" ref="H16">_xlfn.XLOOKUP(1,(Brushsheet!A:A=Table1[Student_ID])*(Brushsheet!E:E=Result[[#This Row],[Subject_Name]]),Brushsheet!L:L,"")</f>
        <v>F</v>
      </c>
      <c r="I16" s="76" t="str" cm="1">
        <f t="array" ref="I16">_xlfn.XLOOKUP(1,(Brushsheet!A:A=Table1[Student_ID])*(Brushsheet!E:E=Result[[#This Row],[Subject_Name]]),Brushsheet!M:M,"")</f>
        <v>Weak</v>
      </c>
      <c r="J16" s="76"/>
    </row>
    <row r="17" spans="2:10" x14ac:dyDescent="0.25">
      <c r="B17" s="76" cm="1">
        <f t="array" ref="B17">IFERROR(INDEX(Brushsheet!E:E,SMALL(IF(Brushsheet!A:A=Table1[Student_ID],ROW(Brushsheet!A:A)),ROW(A13))),"")</f>
        <v>0</v>
      </c>
      <c r="C17" s="76" cm="1">
        <f t="array" ref="C17">_xlfn.XLOOKUP(1,(Brushsheet!A:A=Table1[Student_ID])*(Brushsheet!E:E=Result[[#This Row],[Subject_Name]]),Brushsheet!G:G,"")</f>
        <v>0</v>
      </c>
      <c r="D17" s="76" cm="1">
        <f t="array" ref="D17">_xlfn.XLOOKUP(1,(Brushsheet!A:A=Table1[Student_ID])*(Brushsheet!E:E=Result[[#This Row],[Subject_Name]]),Brushsheet!H:H,"")</f>
        <v>0</v>
      </c>
      <c r="E17" s="76" cm="1">
        <f t="array" ref="E17">_xlfn.XLOOKUP(1,(Brushsheet!A:A=Table1[Student_ID])*(Brushsheet!E:E=Result[[#This Row],[Subject_Name]]),Brushsheet!I:I,"")</f>
        <v>0</v>
      </c>
      <c r="F17" s="76" cm="1">
        <f t="array" ref="F17">_xlfn.XLOOKUP(1,(Brushsheet!A:A=Table1[Student_ID])*(Brushsheet!E:E=Result[[#This Row],[Subject_Name]]),Brushsheet!J:J,"")</f>
        <v>0</v>
      </c>
      <c r="G17" s="76">
        <f t="shared" si="0"/>
        <v>0</v>
      </c>
      <c r="H17" s="76" t="str" cm="1">
        <f t="array" ref="H17">_xlfn.XLOOKUP(1,(Brushsheet!A:A=Table1[Student_ID])*(Brushsheet!E:E=Result[[#This Row],[Subject_Name]]),Brushsheet!L:L,"")</f>
        <v>F</v>
      </c>
      <c r="I17" s="76" t="str" cm="1">
        <f t="array" ref="I17">_xlfn.XLOOKUP(1,(Brushsheet!A:A=Table1[Student_ID])*(Brushsheet!E:E=Result[[#This Row],[Subject_Name]]),Brushsheet!M:M,"")</f>
        <v>Weak</v>
      </c>
      <c r="J17" s="76"/>
    </row>
    <row r="18" spans="2:10" x14ac:dyDescent="0.25">
      <c r="B18" s="76" cm="1">
        <f t="array" ref="B18">IFERROR(INDEX(Brushsheet!E:E,SMALL(IF(Brushsheet!A:A=Table1[Student_ID],ROW(Brushsheet!A:A)),ROW(A14))),"")</f>
        <v>0</v>
      </c>
      <c r="C18" s="76" cm="1">
        <f t="array" ref="C18">_xlfn.XLOOKUP(1,(Brushsheet!A:A=Table1[Student_ID])*(Brushsheet!E:E=Result[[#This Row],[Subject_Name]]),Brushsheet!G:G,"")</f>
        <v>0</v>
      </c>
      <c r="D18" s="76" cm="1">
        <f t="array" ref="D18">_xlfn.XLOOKUP(1,(Brushsheet!A:A=Table1[Student_ID])*(Brushsheet!E:E=Result[[#This Row],[Subject_Name]]),Brushsheet!H:H,"")</f>
        <v>0</v>
      </c>
      <c r="E18" s="76" cm="1">
        <f t="array" ref="E18">_xlfn.XLOOKUP(1,(Brushsheet!A:A=Table1[Student_ID])*(Brushsheet!E:E=Result[[#This Row],[Subject_Name]]),Brushsheet!I:I,"")</f>
        <v>0</v>
      </c>
      <c r="F18" s="76" cm="1">
        <f t="array" ref="F18">_xlfn.XLOOKUP(1,(Brushsheet!A:A=Table1[Student_ID])*(Brushsheet!E:E=Result[[#This Row],[Subject_Name]]),Brushsheet!J:J,"")</f>
        <v>0</v>
      </c>
      <c r="G18" s="76">
        <f t="shared" si="0"/>
        <v>0</v>
      </c>
      <c r="H18" s="76" t="str" cm="1">
        <f t="array" ref="H18">_xlfn.XLOOKUP(1,(Brushsheet!A:A=Table1[Student_ID])*(Brushsheet!E:E=Result[[#This Row],[Subject_Name]]),Brushsheet!L:L,"")</f>
        <v>F</v>
      </c>
      <c r="I18" s="76" t="str" cm="1">
        <f t="array" ref="I18">_xlfn.XLOOKUP(1,(Brushsheet!A:A=Table1[Student_ID])*(Brushsheet!E:E=Result[[#This Row],[Subject_Name]]),Brushsheet!M:M,"")</f>
        <v>Weak</v>
      </c>
      <c r="J18" s="76"/>
    </row>
    <row r="19" spans="2:10" x14ac:dyDescent="0.25">
      <c r="B19" s="76" cm="1">
        <f t="array" ref="B19">IFERROR(INDEX(Brushsheet!E:E,SMALL(IF(Brushsheet!A:A=Table1[Student_ID],ROW(Brushsheet!A:A)),ROW(A15))),"")</f>
        <v>0</v>
      </c>
      <c r="C19" s="76" cm="1">
        <f t="array" ref="C19">_xlfn.XLOOKUP(1,(Brushsheet!A:A=Table1[Student_ID])*(Brushsheet!E:E=Result[[#This Row],[Subject_Name]]),Brushsheet!G:G,"")</f>
        <v>0</v>
      </c>
      <c r="D19" s="76" cm="1">
        <f t="array" ref="D19">_xlfn.XLOOKUP(1,(Brushsheet!A:A=Table1[Student_ID])*(Brushsheet!E:E=Result[[#This Row],[Subject_Name]]),Brushsheet!H:H,"")</f>
        <v>0</v>
      </c>
      <c r="E19" s="76" cm="1">
        <f t="array" ref="E19">_xlfn.XLOOKUP(1,(Brushsheet!A:A=Table1[Student_ID])*(Brushsheet!E:E=Result[[#This Row],[Subject_Name]]),Brushsheet!I:I,"")</f>
        <v>0</v>
      </c>
      <c r="F19" s="76" cm="1">
        <f t="array" ref="F19">_xlfn.XLOOKUP(1,(Brushsheet!A:A=Table1[Student_ID])*(Brushsheet!E:E=Result[[#This Row],[Subject_Name]]),Brushsheet!J:J,"")</f>
        <v>0</v>
      </c>
      <c r="G19" s="76">
        <f t="shared" si="0"/>
        <v>0</v>
      </c>
      <c r="H19" s="76" t="str" cm="1">
        <f t="array" ref="H19">_xlfn.XLOOKUP(1,(Brushsheet!A:A=Table1[Student_ID])*(Brushsheet!E:E=Result[[#This Row],[Subject_Name]]),Brushsheet!L:L,"")</f>
        <v>F</v>
      </c>
      <c r="I19" s="76" t="str" cm="1">
        <f t="array" ref="I19">_xlfn.XLOOKUP(1,(Brushsheet!A:A=Table1[Student_ID])*(Brushsheet!E:E=Result[[#This Row],[Subject_Name]]),Brushsheet!M:M,"")</f>
        <v>Weak</v>
      </c>
      <c r="J19" s="76"/>
    </row>
    <row r="20" spans="2:10" x14ac:dyDescent="0.25">
      <c r="B20" s="76" cm="1">
        <f t="array" ref="B20">IFERROR(INDEX(Brushsheet!E:E,SMALL(IF(Brushsheet!A:A=Table1[Student_ID],ROW(Brushsheet!A:A)),ROW(A16))),"")</f>
        <v>0</v>
      </c>
      <c r="C20" s="76" cm="1">
        <f t="array" ref="C20">_xlfn.XLOOKUP(1,(Brushsheet!A:A=Table1[Student_ID])*(Brushsheet!E:E=Result[[#This Row],[Subject_Name]]),Brushsheet!G:G,"")</f>
        <v>0</v>
      </c>
      <c r="D20" s="76" cm="1">
        <f t="array" ref="D20">_xlfn.XLOOKUP(1,(Brushsheet!A:A=Table1[Student_ID])*(Brushsheet!E:E=Result[[#This Row],[Subject_Name]]),Brushsheet!H:H,"")</f>
        <v>0</v>
      </c>
      <c r="E20" s="76" cm="1">
        <f t="array" ref="E20">_xlfn.XLOOKUP(1,(Brushsheet!A:A=Table1[Student_ID])*(Brushsheet!E:E=Result[[#This Row],[Subject_Name]]),Brushsheet!I:I,"")</f>
        <v>0</v>
      </c>
      <c r="F20" s="76" cm="1">
        <f t="array" ref="F20">_xlfn.XLOOKUP(1,(Brushsheet!A:A=Table1[Student_ID])*(Brushsheet!E:E=Result[[#This Row],[Subject_Name]]),Brushsheet!J:J,"")</f>
        <v>0</v>
      </c>
      <c r="G20" s="76">
        <f t="shared" si="0"/>
        <v>0</v>
      </c>
      <c r="H20" s="76" t="str" cm="1">
        <f t="array" ref="H20">_xlfn.XLOOKUP(1,(Brushsheet!A:A=Table1[Student_ID])*(Brushsheet!E:E=Result[[#This Row],[Subject_Name]]),Brushsheet!L:L,"")</f>
        <v>F</v>
      </c>
      <c r="I20" s="76" t="str" cm="1">
        <f t="array" ref="I20">_xlfn.XLOOKUP(1,(Brushsheet!A:A=Table1[Student_ID])*(Brushsheet!E:E=Result[[#This Row],[Subject_Name]]),Brushsheet!M:M,"")</f>
        <v>Weak</v>
      </c>
      <c r="J20" s="76"/>
    </row>
    <row r="21" spans="2:10" x14ac:dyDescent="0.25">
      <c r="B21" s="76" cm="1">
        <f t="array" ref="B21">IFERROR(INDEX(Brushsheet!E:E,SMALL(IF(Brushsheet!A:A=Table1[Student_ID],ROW(Brushsheet!A:A)),ROW(A17))),"")</f>
        <v>0</v>
      </c>
      <c r="C21" s="76" cm="1">
        <f t="array" ref="C21">_xlfn.XLOOKUP(1,(Brushsheet!A:A=Table1[Student_ID])*(Brushsheet!E:E=Result[[#This Row],[Subject_Name]]),Brushsheet!G:G,"")</f>
        <v>0</v>
      </c>
      <c r="D21" s="76" cm="1">
        <f t="array" ref="D21">_xlfn.XLOOKUP(1,(Brushsheet!A:A=Table1[Student_ID])*(Brushsheet!E:E=Result[[#This Row],[Subject_Name]]),Brushsheet!H:H,"")</f>
        <v>0</v>
      </c>
      <c r="E21" s="76" cm="1">
        <f t="array" ref="E21">_xlfn.XLOOKUP(1,(Brushsheet!A:A=Table1[Student_ID])*(Brushsheet!E:E=Result[[#This Row],[Subject_Name]]),Brushsheet!I:I,"")</f>
        <v>0</v>
      </c>
      <c r="F21" s="76" cm="1">
        <f t="array" ref="F21">_xlfn.XLOOKUP(1,(Brushsheet!A:A=Table1[Student_ID])*(Brushsheet!E:E=Result[[#This Row],[Subject_Name]]),Brushsheet!J:J,"")</f>
        <v>0</v>
      </c>
      <c r="G21" s="76">
        <f t="shared" si="0"/>
        <v>0</v>
      </c>
      <c r="H21" s="76" t="str" cm="1">
        <f t="array" ref="H21">_xlfn.XLOOKUP(1,(Brushsheet!A:A=Table1[Student_ID])*(Brushsheet!E:E=Result[[#This Row],[Subject_Name]]),Brushsheet!L:L,"")</f>
        <v>F</v>
      </c>
      <c r="I21" s="76" t="str" cm="1">
        <f t="array" ref="I21">_xlfn.XLOOKUP(1,(Brushsheet!A:A=Table1[Student_ID])*(Brushsheet!E:E=Result[[#This Row],[Subject_Name]]),Brushsheet!M:M,"")</f>
        <v>Weak</v>
      </c>
      <c r="J21" s="76"/>
    </row>
    <row r="22" spans="2:10" x14ac:dyDescent="0.25">
      <c r="B22" s="76" cm="1">
        <f t="array" ref="B22">IFERROR(INDEX(Brushsheet!E:E,SMALL(IF(Brushsheet!A:A=Table1[Student_ID],ROW(Brushsheet!A:A)),ROW(A18))),"")</f>
        <v>0</v>
      </c>
      <c r="C22" s="76" cm="1">
        <f t="array" ref="C22">_xlfn.XLOOKUP(1,(Brushsheet!A:A=Table1[Student_ID])*(Brushsheet!E:E=Result[[#This Row],[Subject_Name]]),Brushsheet!G:G,"")</f>
        <v>0</v>
      </c>
      <c r="D22" s="76" cm="1">
        <f t="array" ref="D22">_xlfn.XLOOKUP(1,(Brushsheet!A:A=Table1[Student_ID])*(Brushsheet!E:E=Result[[#This Row],[Subject_Name]]),Brushsheet!H:H,"")</f>
        <v>0</v>
      </c>
      <c r="E22" s="76" cm="1">
        <f t="array" ref="E22">_xlfn.XLOOKUP(1,(Brushsheet!A:A=Table1[Student_ID])*(Brushsheet!E:E=Result[[#This Row],[Subject_Name]]),Brushsheet!I:I,"")</f>
        <v>0</v>
      </c>
      <c r="F22" s="76" cm="1">
        <f t="array" ref="F22">_xlfn.XLOOKUP(1,(Brushsheet!A:A=Table1[Student_ID])*(Brushsheet!E:E=Result[[#This Row],[Subject_Name]]),Brushsheet!J:J,"")</f>
        <v>0</v>
      </c>
      <c r="G22" s="76">
        <f t="shared" si="0"/>
        <v>0</v>
      </c>
      <c r="H22" s="76" t="str" cm="1">
        <f t="array" ref="H22">_xlfn.XLOOKUP(1,(Brushsheet!A:A=Table1[Student_ID])*(Brushsheet!E:E=Result[[#This Row],[Subject_Name]]),Brushsheet!L:L,"")</f>
        <v>F</v>
      </c>
      <c r="I22" s="76" t="str" cm="1">
        <f t="array" ref="I22">_xlfn.XLOOKUP(1,(Brushsheet!A:A=Table1[Student_ID])*(Brushsheet!E:E=Result[[#This Row],[Subject_Name]]),Brushsheet!M:M,"")</f>
        <v>Weak</v>
      </c>
      <c r="J22" s="76"/>
    </row>
    <row r="23" spans="2:10" x14ac:dyDescent="0.25">
      <c r="B23" s="76" cm="1">
        <f t="array" ref="B23">IFERROR(INDEX(Brushsheet!E:E,SMALL(IF(Brushsheet!A:A=Table1[Student_ID],ROW(Brushsheet!A:A)),ROW(A19))),"")</f>
        <v>0</v>
      </c>
      <c r="C23" s="76" cm="1">
        <f t="array" ref="C23">_xlfn.XLOOKUP(1,(Brushsheet!A:A=Table1[Student_ID])*(Brushsheet!E:E=Result[[#This Row],[Subject_Name]]),Brushsheet!G:G,"")</f>
        <v>0</v>
      </c>
      <c r="D23" s="76" cm="1">
        <f t="array" ref="D23">_xlfn.XLOOKUP(1,(Brushsheet!A:A=Table1[Student_ID])*(Brushsheet!E:E=Result[[#This Row],[Subject_Name]]),Brushsheet!H:H,"")</f>
        <v>0</v>
      </c>
      <c r="E23" s="76" cm="1">
        <f t="array" ref="E23">_xlfn.XLOOKUP(1,(Brushsheet!A:A=Table1[Student_ID])*(Brushsheet!E:E=Result[[#This Row],[Subject_Name]]),Brushsheet!I:I,"")</f>
        <v>0</v>
      </c>
      <c r="F23" s="76" cm="1">
        <f t="array" ref="F23">_xlfn.XLOOKUP(1,(Brushsheet!A:A=Table1[Student_ID])*(Brushsheet!E:E=Result[[#This Row],[Subject_Name]]),Brushsheet!J:J,"")</f>
        <v>0</v>
      </c>
      <c r="G23" s="76">
        <f t="shared" si="0"/>
        <v>0</v>
      </c>
      <c r="H23" s="76" t="str" cm="1">
        <f t="array" ref="H23">_xlfn.XLOOKUP(1,(Brushsheet!A:A=Table1[Student_ID])*(Brushsheet!E:E=Result[[#This Row],[Subject_Name]]),Brushsheet!L:L,"")</f>
        <v>F</v>
      </c>
      <c r="I23" s="76" t="str" cm="1">
        <f t="array" ref="I23">_xlfn.XLOOKUP(1,(Brushsheet!A:A=Table1[Student_ID])*(Brushsheet!E:E=Result[[#This Row],[Subject_Name]]),Brushsheet!M:M,"")</f>
        <v>Weak</v>
      </c>
      <c r="J23" s="76"/>
    </row>
    <row r="24" spans="2:10" x14ac:dyDescent="0.25">
      <c r="B24" s="76" cm="1">
        <f t="array" ref="B24">IFERROR(INDEX(Brushsheet!E:E,SMALL(IF(Brushsheet!A:A=Table1[Student_ID],ROW(Brushsheet!A:A)),ROW(A20))),"")</f>
        <v>0</v>
      </c>
      <c r="C24" s="76" cm="1">
        <f t="array" ref="C24">_xlfn.XLOOKUP(1,(Brushsheet!A:A=Table1[Student_ID])*(Brushsheet!E:E=Result[[#This Row],[Subject_Name]]),Brushsheet!G:G,"")</f>
        <v>0</v>
      </c>
      <c r="D24" s="76" cm="1">
        <f t="array" ref="D24">_xlfn.XLOOKUP(1,(Brushsheet!A:A=Table1[Student_ID])*(Brushsheet!E:E=Result[[#This Row],[Subject_Name]]),Brushsheet!H:H,"")</f>
        <v>0</v>
      </c>
      <c r="E24" s="76" cm="1">
        <f t="array" ref="E24">_xlfn.XLOOKUP(1,(Brushsheet!A:A=Table1[Student_ID])*(Brushsheet!E:E=Result[[#This Row],[Subject_Name]]),Brushsheet!I:I,"")</f>
        <v>0</v>
      </c>
      <c r="F24" s="76" cm="1">
        <f t="array" ref="F24">_xlfn.XLOOKUP(1,(Brushsheet!A:A=Table1[Student_ID])*(Brushsheet!E:E=Result[[#This Row],[Subject_Name]]),Brushsheet!J:J,"")</f>
        <v>0</v>
      </c>
      <c r="G24" s="76">
        <f t="shared" si="0"/>
        <v>0</v>
      </c>
      <c r="H24" s="76" t="str" cm="1">
        <f t="array" ref="H24">_xlfn.XLOOKUP(1,(Brushsheet!A:A=Table1[Student_ID])*(Brushsheet!E:E=Result[[#This Row],[Subject_Name]]),Brushsheet!L:L,"")</f>
        <v>F</v>
      </c>
      <c r="I24" s="76" t="str" cm="1">
        <f t="array" ref="I24">_xlfn.XLOOKUP(1,(Brushsheet!A:A=Table1[Student_ID])*(Brushsheet!E:E=Result[[#This Row],[Subject_Name]]),Brushsheet!M:M,"")</f>
        <v>Weak</v>
      </c>
      <c r="J24" s="76"/>
    </row>
    <row r="25" spans="2:10" x14ac:dyDescent="0.25">
      <c r="B25" s="3" t="s">
        <v>48</v>
      </c>
      <c r="C25">
        <f>SUBTOTAL(109,Result[1st_CA])</f>
        <v>0</v>
      </c>
      <c r="D25">
        <f>SUBTOTAL(109,Result[2nd_CA])</f>
        <v>0</v>
      </c>
      <c r="E25">
        <f>SUBTOTAL(109,Result[Assignment])</f>
        <v>0</v>
      </c>
      <c r="F25">
        <f>SUBTOTAL(109,Result[Exam])</f>
        <v>0</v>
      </c>
      <c r="G25">
        <f>SUBTOTAL(109,Result[Total])</f>
        <v>0</v>
      </c>
    </row>
  </sheetData>
  <sheetProtection sheet="1" objects="1" scenarios="1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DD80-C1EA-4887-8435-671F970AD6F2}">
  <dimension ref="A1:T23"/>
  <sheetViews>
    <sheetView zoomScale="67" workbookViewId="0">
      <selection activeCell="I28" sqref="I28"/>
    </sheetView>
  </sheetViews>
  <sheetFormatPr defaultRowHeight="15" x14ac:dyDescent="0.25"/>
  <cols>
    <col min="1" max="1" width="20.85546875" bestFit="1" customWidth="1"/>
    <col min="2" max="2" width="27.7109375" bestFit="1" customWidth="1"/>
    <col min="3" max="3" width="6.28515625" bestFit="1" customWidth="1"/>
    <col min="4" max="6" width="4.85546875" bestFit="1" customWidth="1"/>
    <col min="7" max="7" width="15.7109375" bestFit="1" customWidth="1"/>
    <col min="9" max="9" width="18.7109375" bestFit="1" customWidth="1"/>
    <col min="10" max="10" width="18.85546875" bestFit="1" customWidth="1"/>
    <col min="11" max="11" width="20.140625" bestFit="1" customWidth="1"/>
    <col min="12" max="12" width="24.7109375" bestFit="1" customWidth="1"/>
    <col min="14" max="14" width="18.7109375" bestFit="1" customWidth="1"/>
    <col min="15" max="15" width="22.7109375" bestFit="1" customWidth="1"/>
    <col min="16" max="19" width="4.85546875" bestFit="1" customWidth="1"/>
    <col min="20" max="20" width="15.7109375" bestFit="1" customWidth="1"/>
  </cols>
  <sheetData>
    <row r="1" spans="1:20" ht="18" x14ac:dyDescent="0.25">
      <c r="A1" s="90" t="s">
        <v>191</v>
      </c>
      <c r="B1" s="91" t="str" cm="1">
        <f t="array" ref="B1">Table1[Student_Name]</f>
        <v xml:space="preserve">  </v>
      </c>
      <c r="C1" s="76"/>
      <c r="D1" s="76"/>
      <c r="E1" s="76"/>
      <c r="F1" s="76"/>
    </row>
    <row r="2" spans="1:20" ht="18" x14ac:dyDescent="0.25">
      <c r="A2" s="92"/>
      <c r="B2" s="92"/>
      <c r="C2" s="76"/>
      <c r="D2" s="76"/>
      <c r="E2" s="76"/>
      <c r="F2" s="76"/>
    </row>
    <row r="3" spans="1:20" x14ac:dyDescent="0.25">
      <c r="A3" s="76"/>
      <c r="B3" s="76"/>
      <c r="C3" s="76"/>
      <c r="D3" s="76"/>
      <c r="E3" s="76"/>
      <c r="F3" s="76"/>
    </row>
    <row r="14" spans="1:20" x14ac:dyDescent="0.25">
      <c r="E14" s="76"/>
      <c r="F14" s="76"/>
    </row>
    <row r="15" spans="1:20" x14ac:dyDescent="0.25">
      <c r="A15" s="78" t="s">
        <v>224</v>
      </c>
      <c r="B15" s="78" t="s">
        <v>227</v>
      </c>
      <c r="C15" s="79"/>
      <c r="D15" s="79"/>
      <c r="E15" s="79"/>
      <c r="F15" s="79"/>
      <c r="G15" s="79"/>
      <c r="I15" s="78" t="s">
        <v>225</v>
      </c>
      <c r="J15" s="79" t="s">
        <v>233</v>
      </c>
      <c r="K15" s="79" t="s">
        <v>234</v>
      </c>
      <c r="L15" s="79" t="s">
        <v>235</v>
      </c>
      <c r="N15" s="78" t="s">
        <v>236</v>
      </c>
      <c r="O15" s="78" t="s">
        <v>227</v>
      </c>
      <c r="P15" s="79"/>
      <c r="Q15" s="79"/>
      <c r="R15" s="79"/>
      <c r="S15" s="79"/>
      <c r="T15" s="79"/>
    </row>
    <row r="16" spans="1:20" x14ac:dyDescent="0.25">
      <c r="A16" s="78" t="s">
        <v>225</v>
      </c>
      <c r="B16" s="79"/>
      <c r="C16" s="79" t="s">
        <v>228</v>
      </c>
      <c r="D16" s="79" t="s">
        <v>229</v>
      </c>
      <c r="E16" s="79" t="s">
        <v>232</v>
      </c>
      <c r="F16" s="79" t="s">
        <v>239</v>
      </c>
      <c r="G16" t="s">
        <v>226</v>
      </c>
      <c r="I16" s="80"/>
      <c r="J16" s="79">
        <v>0</v>
      </c>
      <c r="K16" s="79">
        <v>0</v>
      </c>
      <c r="L16" s="79">
        <v>0</v>
      </c>
      <c r="N16" s="78" t="s">
        <v>225</v>
      </c>
      <c r="O16" s="79"/>
      <c r="P16" s="79" t="s">
        <v>228</v>
      </c>
      <c r="Q16" s="79" t="s">
        <v>229</v>
      </c>
      <c r="R16" s="79" t="s">
        <v>232</v>
      </c>
      <c r="S16" s="79" t="s">
        <v>239</v>
      </c>
      <c r="T16" t="s">
        <v>226</v>
      </c>
    </row>
    <row r="17" spans="1:20" x14ac:dyDescent="0.25">
      <c r="A17" s="80"/>
      <c r="B17" s="79">
        <v>0</v>
      </c>
      <c r="C17" s="79"/>
      <c r="D17" s="79"/>
      <c r="E17" s="79"/>
      <c r="F17" s="79"/>
      <c r="G17">
        <v>0</v>
      </c>
      <c r="I17" s="80" t="s">
        <v>92</v>
      </c>
      <c r="J17" s="79">
        <v>3</v>
      </c>
      <c r="K17" s="79">
        <v>12</v>
      </c>
      <c r="L17" s="79">
        <v>5</v>
      </c>
      <c r="N17" s="80"/>
      <c r="O17" s="79">
        <v>0</v>
      </c>
      <c r="P17" s="79"/>
      <c r="Q17" s="79"/>
      <c r="R17" s="79"/>
      <c r="S17" s="79"/>
      <c r="T17">
        <v>0</v>
      </c>
    </row>
    <row r="18" spans="1:20" x14ac:dyDescent="0.25">
      <c r="A18" s="80" t="s">
        <v>92</v>
      </c>
      <c r="B18" s="79"/>
      <c r="C18" s="79"/>
      <c r="D18" s="79">
        <v>68</v>
      </c>
      <c r="E18" s="79"/>
      <c r="F18" s="79"/>
      <c r="G18">
        <v>68</v>
      </c>
      <c r="I18" s="80" t="s">
        <v>85</v>
      </c>
      <c r="J18" s="79">
        <v>12</v>
      </c>
      <c r="K18" s="79">
        <v>13</v>
      </c>
      <c r="L18" s="79">
        <v>8</v>
      </c>
      <c r="N18" s="80" t="s">
        <v>92</v>
      </c>
      <c r="O18" s="79"/>
      <c r="P18" s="79"/>
      <c r="Q18" s="79">
        <v>48</v>
      </c>
      <c r="R18" s="79"/>
      <c r="S18" s="79"/>
      <c r="T18">
        <v>48</v>
      </c>
    </row>
    <row r="19" spans="1:20" x14ac:dyDescent="0.25">
      <c r="A19" s="80" t="s">
        <v>85</v>
      </c>
      <c r="B19" s="79"/>
      <c r="C19" s="79">
        <v>86</v>
      </c>
      <c r="D19" s="79"/>
      <c r="E19" s="79"/>
      <c r="F19" s="79"/>
      <c r="G19">
        <v>86</v>
      </c>
      <c r="I19" s="80" t="s">
        <v>231</v>
      </c>
      <c r="J19" s="79">
        <v>6</v>
      </c>
      <c r="K19" s="79">
        <v>8</v>
      </c>
      <c r="L19" s="79">
        <v>2</v>
      </c>
      <c r="N19" s="80" t="s">
        <v>85</v>
      </c>
      <c r="O19" s="79"/>
      <c r="P19" s="79">
        <v>53</v>
      </c>
      <c r="Q19" s="79"/>
      <c r="R19" s="79"/>
      <c r="S19" s="79"/>
      <c r="T19">
        <v>53</v>
      </c>
    </row>
    <row r="20" spans="1:20" x14ac:dyDescent="0.25">
      <c r="A20" s="80" t="s">
        <v>231</v>
      </c>
      <c r="B20" s="79"/>
      <c r="C20" s="79"/>
      <c r="D20" s="79"/>
      <c r="E20" s="79">
        <v>52</v>
      </c>
      <c r="F20" s="79"/>
      <c r="G20">
        <v>52</v>
      </c>
      <c r="I20" s="80" t="s">
        <v>238</v>
      </c>
      <c r="J20" s="79">
        <v>5</v>
      </c>
      <c r="K20" s="79">
        <v>8</v>
      </c>
      <c r="L20" s="79">
        <v>3</v>
      </c>
      <c r="N20" s="80" t="s">
        <v>231</v>
      </c>
      <c r="O20" s="79"/>
      <c r="P20" s="79"/>
      <c r="Q20" s="79"/>
      <c r="R20" s="79">
        <v>36</v>
      </c>
      <c r="S20" s="79"/>
      <c r="T20">
        <v>36</v>
      </c>
    </row>
    <row r="21" spans="1:20" x14ac:dyDescent="0.25">
      <c r="A21" s="80" t="s">
        <v>238</v>
      </c>
      <c r="B21" s="79"/>
      <c r="C21" s="79"/>
      <c r="D21" s="79"/>
      <c r="E21" s="79"/>
      <c r="F21" s="79">
        <v>41</v>
      </c>
      <c r="G21">
        <v>41</v>
      </c>
      <c r="I21" s="80" t="s">
        <v>241</v>
      </c>
      <c r="J21" s="79">
        <v>15</v>
      </c>
      <c r="K21" s="79">
        <v>15</v>
      </c>
      <c r="L21" s="79">
        <v>10</v>
      </c>
      <c r="N21" s="80" t="s">
        <v>238</v>
      </c>
      <c r="O21" s="79"/>
      <c r="P21" s="79"/>
      <c r="Q21" s="79"/>
      <c r="R21" s="79"/>
      <c r="S21" s="79">
        <v>25</v>
      </c>
      <c r="T21">
        <v>25</v>
      </c>
    </row>
    <row r="22" spans="1:20" x14ac:dyDescent="0.25">
      <c r="A22" s="80" t="s">
        <v>241</v>
      </c>
      <c r="B22" s="79"/>
      <c r="C22" s="79">
        <v>70</v>
      </c>
      <c r="D22" s="79"/>
      <c r="E22" s="79"/>
      <c r="F22" s="79"/>
      <c r="G22">
        <v>70</v>
      </c>
      <c r="I22" s="80" t="s">
        <v>226</v>
      </c>
      <c r="J22" s="79">
        <v>41</v>
      </c>
      <c r="K22" s="79">
        <v>56</v>
      </c>
      <c r="L22" s="79">
        <v>28</v>
      </c>
      <c r="N22" s="80" t="s">
        <v>241</v>
      </c>
      <c r="O22" s="79"/>
      <c r="P22" s="79">
        <v>30</v>
      </c>
      <c r="Q22" s="79"/>
      <c r="R22" s="79"/>
      <c r="S22" s="79"/>
      <c r="T22">
        <v>30</v>
      </c>
    </row>
    <row r="23" spans="1:20" x14ac:dyDescent="0.25">
      <c r="A23" s="80" t="s">
        <v>226</v>
      </c>
      <c r="B23" s="79">
        <v>0</v>
      </c>
      <c r="C23" s="79">
        <v>156</v>
      </c>
      <c r="D23" s="79">
        <v>68</v>
      </c>
      <c r="E23" s="79">
        <v>52</v>
      </c>
      <c r="F23" s="79">
        <v>41</v>
      </c>
      <c r="G23">
        <v>317</v>
      </c>
      <c r="N23" s="80" t="s">
        <v>226</v>
      </c>
      <c r="O23" s="79">
        <v>0</v>
      </c>
      <c r="P23" s="79">
        <v>83</v>
      </c>
      <c r="Q23" s="79">
        <v>48</v>
      </c>
      <c r="R23" s="79">
        <v>36</v>
      </c>
      <c r="S23" s="79">
        <v>25</v>
      </c>
      <c r="T23">
        <v>192</v>
      </c>
    </row>
  </sheetData>
  <sheetProtection sheet="1" objects="1" scenarios="1"/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2CD9-A74E-41EB-B071-5EFCEC605095}">
  <dimension ref="A1:F1"/>
  <sheetViews>
    <sheetView workbookViewId="0">
      <selection activeCell="F2" sqref="F2"/>
    </sheetView>
  </sheetViews>
  <sheetFormatPr defaultRowHeight="15" x14ac:dyDescent="0.25"/>
  <cols>
    <col min="1" max="1" width="14.5703125" style="76" bestFit="1" customWidth="1"/>
    <col min="2" max="2" width="8.85546875" style="76" bestFit="1" customWidth="1"/>
    <col min="3" max="3" width="8" style="76" bestFit="1" customWidth="1"/>
    <col min="4" max="4" width="7" style="76" bestFit="1" customWidth="1"/>
    <col min="5" max="5" width="9.7109375" style="76" bestFit="1" customWidth="1"/>
    <col min="6" max="6" width="25.28515625" style="76" bestFit="1" customWidth="1"/>
  </cols>
  <sheetData>
    <row r="1" spans="1:6" x14ac:dyDescent="0.25">
      <c r="A1" s="76" t="s">
        <v>0</v>
      </c>
      <c r="B1" s="76" t="s">
        <v>5</v>
      </c>
      <c r="C1" s="76" t="s">
        <v>18</v>
      </c>
      <c r="D1" s="76" t="s">
        <v>50</v>
      </c>
      <c r="E1" s="76" t="s">
        <v>19</v>
      </c>
      <c r="F1" s="76" t="s">
        <v>51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F7C0-85FC-4F85-AE24-F84BB219FD1F}">
  <dimension ref="A1:L101"/>
  <sheetViews>
    <sheetView workbookViewId="0">
      <selection activeCell="A2" sqref="A2"/>
    </sheetView>
  </sheetViews>
  <sheetFormatPr defaultRowHeight="15" x14ac:dyDescent="0.25"/>
  <cols>
    <col min="1" max="1" width="13.140625" style="81" bestFit="1" customWidth="1"/>
    <col min="2" max="2" width="17.7109375" bestFit="1" customWidth="1"/>
    <col min="3" max="3" width="10" style="81" bestFit="1" customWidth="1"/>
    <col min="4" max="4" width="7.85546875" style="81" bestFit="1" customWidth="1"/>
    <col min="5" max="5" width="11.85546875" style="81" bestFit="1" customWidth="1"/>
    <col min="6" max="6" width="19.85546875" style="81" bestFit="1" customWidth="1"/>
    <col min="7" max="7" width="15.42578125" style="81" bestFit="1" customWidth="1"/>
    <col min="8" max="8" width="16.42578125" style="81" bestFit="1" customWidth="1"/>
    <col min="9" max="9" width="19.5703125" style="81" bestFit="1" customWidth="1"/>
    <col min="10" max="10" width="18.42578125" style="81" bestFit="1" customWidth="1"/>
    <col min="11" max="11" width="12.42578125" bestFit="1" customWidth="1"/>
    <col min="12" max="12" width="10.140625" bestFit="1" customWidth="1"/>
  </cols>
  <sheetData>
    <row r="1" spans="1:12" x14ac:dyDescent="0.25">
      <c r="A1" s="81" t="s">
        <v>0</v>
      </c>
      <c r="B1" t="s">
        <v>191</v>
      </c>
      <c r="C1" s="81" t="s">
        <v>45</v>
      </c>
      <c r="D1" s="81" t="s">
        <v>16</v>
      </c>
      <c r="E1" s="81" t="s">
        <v>52</v>
      </c>
      <c r="F1" s="81" t="s">
        <v>53</v>
      </c>
      <c r="G1" s="81" t="s">
        <v>54</v>
      </c>
      <c r="H1" s="81" t="s">
        <v>55</v>
      </c>
      <c r="I1" s="81" t="s">
        <v>56</v>
      </c>
      <c r="J1" s="81" t="s">
        <v>57</v>
      </c>
      <c r="K1" t="s">
        <v>71</v>
      </c>
      <c r="L1" t="s">
        <v>20</v>
      </c>
    </row>
    <row r="2" spans="1:12" x14ac:dyDescent="0.25">
      <c r="A2" s="84">
        <v>1</v>
      </c>
      <c r="B2" s="76" t="str">
        <f>CONCATENATE((VLOOKUP(Fees[[#This Row],[Student_ID]],Students!A:E,5,FALSE))," ", (VLOOKUP(Fees[[#This Row],[Student_ID]],Students!A:F,3,FALSE))," ", (VLOOKUP(Fees[[#This Row],[Student_ID]],Students!A:E,4,FALSE)))</f>
        <v>Ojo Josiah Muyiwa</v>
      </c>
      <c r="C2" s="84" t="s">
        <v>243</v>
      </c>
      <c r="D2" s="84" t="s">
        <v>190</v>
      </c>
      <c r="E2" s="84" t="s">
        <v>244</v>
      </c>
      <c r="F2" s="84">
        <v>100000</v>
      </c>
      <c r="G2" s="84">
        <v>80000</v>
      </c>
      <c r="H2" s="83">
        <v>45820</v>
      </c>
      <c r="I2" s="84" t="s">
        <v>192</v>
      </c>
      <c r="J2" s="84">
        <v>76</v>
      </c>
      <c r="K2" s="76" t="str">
        <f t="shared" ref="K2:K65" si="0">IF(H2=0,"Paid","Outstanding")</f>
        <v>Outstanding</v>
      </c>
      <c r="L2" s="76">
        <f t="shared" ref="L2:L65" si="1">F2-G2</f>
        <v>20000</v>
      </c>
    </row>
    <row r="3" spans="1:12" x14ac:dyDescent="0.25">
      <c r="A3" s="84"/>
      <c r="B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" s="84"/>
      <c r="D3" s="84"/>
      <c r="E3" s="84"/>
      <c r="F3" s="84"/>
      <c r="G3" s="84"/>
      <c r="H3" s="84"/>
      <c r="I3" s="84"/>
      <c r="J3" s="84"/>
      <c r="K3" s="76" t="str">
        <f t="shared" si="0"/>
        <v>Paid</v>
      </c>
      <c r="L3" s="76">
        <f t="shared" si="1"/>
        <v>0</v>
      </c>
    </row>
    <row r="4" spans="1:12" x14ac:dyDescent="0.25">
      <c r="A4" s="84"/>
      <c r="B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" s="84"/>
      <c r="D4" s="84"/>
      <c r="E4" s="84"/>
      <c r="F4" s="84"/>
      <c r="G4" s="84"/>
      <c r="H4" s="84"/>
      <c r="I4" s="84"/>
      <c r="J4" s="84"/>
      <c r="K4" s="76" t="str">
        <f t="shared" si="0"/>
        <v>Paid</v>
      </c>
      <c r="L4" s="76">
        <f t="shared" si="1"/>
        <v>0</v>
      </c>
    </row>
    <row r="5" spans="1:12" x14ac:dyDescent="0.25">
      <c r="A5" s="84"/>
      <c r="B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" s="84"/>
      <c r="D5" s="84"/>
      <c r="E5" s="84"/>
      <c r="F5" s="84"/>
      <c r="G5" s="84"/>
      <c r="H5" s="84"/>
      <c r="I5" s="84"/>
      <c r="J5" s="84"/>
      <c r="K5" s="76" t="str">
        <f t="shared" si="0"/>
        <v>Paid</v>
      </c>
      <c r="L5" s="76">
        <f t="shared" si="1"/>
        <v>0</v>
      </c>
    </row>
    <row r="6" spans="1:12" x14ac:dyDescent="0.25">
      <c r="A6" s="84"/>
      <c r="B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" s="84"/>
      <c r="D6" s="84"/>
      <c r="E6" s="84"/>
      <c r="F6" s="84"/>
      <c r="G6" s="84"/>
      <c r="H6" s="84"/>
      <c r="I6" s="84"/>
      <c r="J6" s="84"/>
      <c r="K6" s="76" t="str">
        <f t="shared" si="0"/>
        <v>Paid</v>
      </c>
      <c r="L6" s="76">
        <f t="shared" si="1"/>
        <v>0</v>
      </c>
    </row>
    <row r="7" spans="1:12" x14ac:dyDescent="0.25">
      <c r="A7" s="84"/>
      <c r="B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" s="84"/>
      <c r="D7" s="84"/>
      <c r="E7" s="84"/>
      <c r="F7" s="84"/>
      <c r="G7" s="84"/>
      <c r="H7" s="84"/>
      <c r="I7" s="84"/>
      <c r="J7" s="84"/>
      <c r="K7" s="76" t="str">
        <f t="shared" si="0"/>
        <v>Paid</v>
      </c>
      <c r="L7" s="76">
        <f t="shared" si="1"/>
        <v>0</v>
      </c>
    </row>
    <row r="8" spans="1:12" x14ac:dyDescent="0.25">
      <c r="A8" s="84"/>
      <c r="B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" s="84"/>
      <c r="D8" s="84"/>
      <c r="E8" s="84"/>
      <c r="F8" s="84"/>
      <c r="G8" s="84"/>
      <c r="H8" s="84"/>
      <c r="I8" s="84"/>
      <c r="J8" s="84"/>
      <c r="K8" s="76" t="str">
        <f t="shared" si="0"/>
        <v>Paid</v>
      </c>
      <c r="L8" s="76">
        <f t="shared" si="1"/>
        <v>0</v>
      </c>
    </row>
    <row r="9" spans="1:12" x14ac:dyDescent="0.25">
      <c r="A9" s="84"/>
      <c r="B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" s="84"/>
      <c r="D9" s="84"/>
      <c r="E9" s="84"/>
      <c r="F9" s="84"/>
      <c r="G9" s="84"/>
      <c r="H9" s="84"/>
      <c r="I9" s="84"/>
      <c r="J9" s="84"/>
      <c r="K9" s="76" t="str">
        <f t="shared" si="0"/>
        <v>Paid</v>
      </c>
      <c r="L9" s="76">
        <f t="shared" si="1"/>
        <v>0</v>
      </c>
    </row>
    <row r="10" spans="1:12" x14ac:dyDescent="0.25">
      <c r="A10" s="84"/>
      <c r="B1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0" s="84"/>
      <c r="D10" s="84"/>
      <c r="E10" s="84"/>
      <c r="F10" s="84"/>
      <c r="G10" s="84"/>
      <c r="H10" s="84"/>
      <c r="I10" s="84"/>
      <c r="J10" s="84"/>
      <c r="K10" s="76" t="str">
        <f t="shared" si="0"/>
        <v>Paid</v>
      </c>
      <c r="L10" s="76">
        <f t="shared" si="1"/>
        <v>0</v>
      </c>
    </row>
    <row r="11" spans="1:12" x14ac:dyDescent="0.25">
      <c r="A11" s="84"/>
      <c r="B1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1" s="84"/>
      <c r="D11" s="84"/>
      <c r="E11" s="84"/>
      <c r="F11" s="84"/>
      <c r="G11" s="84"/>
      <c r="H11" s="84"/>
      <c r="I11" s="84"/>
      <c r="J11" s="84"/>
      <c r="K11" s="76" t="str">
        <f t="shared" si="0"/>
        <v>Paid</v>
      </c>
      <c r="L11" s="76">
        <f t="shared" si="1"/>
        <v>0</v>
      </c>
    </row>
    <row r="12" spans="1:12" x14ac:dyDescent="0.25">
      <c r="A12" s="84"/>
      <c r="B1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2" s="84"/>
      <c r="D12" s="84"/>
      <c r="E12" s="84"/>
      <c r="F12" s="84"/>
      <c r="G12" s="84"/>
      <c r="H12" s="84"/>
      <c r="I12" s="84"/>
      <c r="J12" s="84"/>
      <c r="K12" s="76" t="str">
        <f t="shared" si="0"/>
        <v>Paid</v>
      </c>
      <c r="L12" s="76">
        <f t="shared" si="1"/>
        <v>0</v>
      </c>
    </row>
    <row r="13" spans="1:12" x14ac:dyDescent="0.25">
      <c r="A13" s="84"/>
      <c r="B1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3" s="84"/>
      <c r="D13" s="84"/>
      <c r="E13" s="84"/>
      <c r="F13" s="84"/>
      <c r="G13" s="84"/>
      <c r="H13" s="84"/>
      <c r="I13" s="84"/>
      <c r="J13" s="84"/>
      <c r="K13" s="76" t="str">
        <f t="shared" si="0"/>
        <v>Paid</v>
      </c>
      <c r="L13" s="76">
        <f t="shared" si="1"/>
        <v>0</v>
      </c>
    </row>
    <row r="14" spans="1:12" x14ac:dyDescent="0.25">
      <c r="A14" s="84"/>
      <c r="B1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4" s="84"/>
      <c r="D14" s="84"/>
      <c r="E14" s="84"/>
      <c r="F14" s="84"/>
      <c r="G14" s="84"/>
      <c r="H14" s="84"/>
      <c r="I14" s="84"/>
      <c r="J14" s="84"/>
      <c r="K14" s="76" t="str">
        <f t="shared" si="0"/>
        <v>Paid</v>
      </c>
      <c r="L14" s="76">
        <f t="shared" si="1"/>
        <v>0</v>
      </c>
    </row>
    <row r="15" spans="1:12" x14ac:dyDescent="0.25">
      <c r="A15" s="84"/>
      <c r="B1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5" s="84"/>
      <c r="D15" s="84"/>
      <c r="E15" s="84"/>
      <c r="F15" s="84"/>
      <c r="G15" s="84"/>
      <c r="H15" s="84"/>
      <c r="I15" s="84"/>
      <c r="J15" s="84"/>
      <c r="K15" s="76" t="str">
        <f t="shared" si="0"/>
        <v>Paid</v>
      </c>
      <c r="L15" s="76">
        <f t="shared" si="1"/>
        <v>0</v>
      </c>
    </row>
    <row r="16" spans="1:12" x14ac:dyDescent="0.25">
      <c r="A16" s="84"/>
      <c r="B1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6" s="84"/>
      <c r="D16" s="84"/>
      <c r="E16" s="84"/>
      <c r="F16" s="84"/>
      <c r="G16" s="84"/>
      <c r="H16" s="84"/>
      <c r="I16" s="84"/>
      <c r="J16" s="84"/>
      <c r="K16" s="76" t="str">
        <f t="shared" si="0"/>
        <v>Paid</v>
      </c>
      <c r="L16" s="76">
        <f t="shared" si="1"/>
        <v>0</v>
      </c>
    </row>
    <row r="17" spans="1:12" x14ac:dyDescent="0.25">
      <c r="A17" s="84"/>
      <c r="B1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7" s="84"/>
      <c r="D17" s="84"/>
      <c r="E17" s="84"/>
      <c r="F17" s="84"/>
      <c r="G17" s="84"/>
      <c r="H17" s="84"/>
      <c r="I17" s="84"/>
      <c r="J17" s="84"/>
      <c r="K17" s="76" t="str">
        <f t="shared" si="0"/>
        <v>Paid</v>
      </c>
      <c r="L17" s="76">
        <f t="shared" si="1"/>
        <v>0</v>
      </c>
    </row>
    <row r="18" spans="1:12" x14ac:dyDescent="0.25">
      <c r="A18" s="84"/>
      <c r="B1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8" s="84"/>
      <c r="D18" s="84"/>
      <c r="E18" s="84"/>
      <c r="F18" s="84"/>
      <c r="G18" s="84"/>
      <c r="H18" s="84"/>
      <c r="I18" s="84"/>
      <c r="J18" s="84"/>
      <c r="K18" s="76" t="str">
        <f t="shared" si="0"/>
        <v>Paid</v>
      </c>
      <c r="L18" s="76">
        <f t="shared" si="1"/>
        <v>0</v>
      </c>
    </row>
    <row r="19" spans="1:12" x14ac:dyDescent="0.25">
      <c r="A19" s="84"/>
      <c r="B1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9" s="84"/>
      <c r="D19" s="84"/>
      <c r="E19" s="84"/>
      <c r="F19" s="84"/>
      <c r="G19" s="84"/>
      <c r="H19" s="84"/>
      <c r="I19" s="84"/>
      <c r="J19" s="84"/>
      <c r="K19" s="76" t="str">
        <f t="shared" si="0"/>
        <v>Paid</v>
      </c>
      <c r="L19" s="76">
        <f t="shared" si="1"/>
        <v>0</v>
      </c>
    </row>
    <row r="20" spans="1:12" x14ac:dyDescent="0.25">
      <c r="A20" s="84"/>
      <c r="B2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0" s="84"/>
      <c r="D20" s="84"/>
      <c r="E20" s="84"/>
      <c r="F20" s="84"/>
      <c r="G20" s="84"/>
      <c r="H20" s="84"/>
      <c r="I20" s="84"/>
      <c r="J20" s="84"/>
      <c r="K20" s="76" t="str">
        <f t="shared" si="0"/>
        <v>Paid</v>
      </c>
      <c r="L20" s="76">
        <f t="shared" si="1"/>
        <v>0</v>
      </c>
    </row>
    <row r="21" spans="1:12" x14ac:dyDescent="0.25">
      <c r="A21" s="84"/>
      <c r="B2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1" s="84"/>
      <c r="D21" s="84"/>
      <c r="E21" s="84"/>
      <c r="F21" s="84"/>
      <c r="G21" s="84"/>
      <c r="H21" s="84"/>
      <c r="I21" s="84"/>
      <c r="J21" s="84"/>
      <c r="K21" s="76" t="str">
        <f t="shared" si="0"/>
        <v>Paid</v>
      </c>
      <c r="L21" s="76">
        <f t="shared" si="1"/>
        <v>0</v>
      </c>
    </row>
    <row r="22" spans="1:12" x14ac:dyDescent="0.25">
      <c r="A22" s="84"/>
      <c r="B2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2" s="84"/>
      <c r="D22" s="84"/>
      <c r="E22" s="84"/>
      <c r="F22" s="84"/>
      <c r="G22" s="84"/>
      <c r="H22" s="84"/>
      <c r="I22" s="84"/>
      <c r="J22" s="84"/>
      <c r="K22" s="76" t="str">
        <f t="shared" si="0"/>
        <v>Paid</v>
      </c>
      <c r="L22" s="76">
        <f t="shared" si="1"/>
        <v>0</v>
      </c>
    </row>
    <row r="23" spans="1:12" x14ac:dyDescent="0.25">
      <c r="A23" s="84"/>
      <c r="B2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3" s="84"/>
      <c r="D23" s="84"/>
      <c r="E23" s="84"/>
      <c r="F23" s="84"/>
      <c r="G23" s="84"/>
      <c r="H23" s="84"/>
      <c r="I23" s="84"/>
      <c r="J23" s="84"/>
      <c r="K23" s="76" t="str">
        <f t="shared" si="0"/>
        <v>Paid</v>
      </c>
      <c r="L23" s="76">
        <f t="shared" si="1"/>
        <v>0</v>
      </c>
    </row>
    <row r="24" spans="1:12" x14ac:dyDescent="0.25">
      <c r="A24" s="84"/>
      <c r="B2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4" s="84"/>
      <c r="D24" s="84"/>
      <c r="E24" s="84"/>
      <c r="F24" s="84"/>
      <c r="G24" s="84"/>
      <c r="H24" s="84"/>
      <c r="I24" s="84"/>
      <c r="J24" s="84"/>
      <c r="K24" s="76" t="str">
        <f t="shared" si="0"/>
        <v>Paid</v>
      </c>
      <c r="L24" s="76">
        <f t="shared" si="1"/>
        <v>0</v>
      </c>
    </row>
    <row r="25" spans="1:12" x14ac:dyDescent="0.25">
      <c r="A25" s="84"/>
      <c r="B2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5" s="84"/>
      <c r="D25" s="84"/>
      <c r="E25" s="84"/>
      <c r="F25" s="84"/>
      <c r="G25" s="84"/>
      <c r="H25" s="84"/>
      <c r="I25" s="84"/>
      <c r="J25" s="84"/>
      <c r="K25" s="76" t="str">
        <f t="shared" si="0"/>
        <v>Paid</v>
      </c>
      <c r="L25" s="76">
        <f t="shared" si="1"/>
        <v>0</v>
      </c>
    </row>
    <row r="26" spans="1:12" x14ac:dyDescent="0.25">
      <c r="A26" s="84"/>
      <c r="B2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6" s="84"/>
      <c r="D26" s="84"/>
      <c r="E26" s="84"/>
      <c r="F26" s="84"/>
      <c r="G26" s="84"/>
      <c r="H26" s="84"/>
      <c r="I26" s="84"/>
      <c r="J26" s="84"/>
      <c r="K26" s="76" t="str">
        <f t="shared" si="0"/>
        <v>Paid</v>
      </c>
      <c r="L26" s="76">
        <f t="shared" si="1"/>
        <v>0</v>
      </c>
    </row>
    <row r="27" spans="1:12" x14ac:dyDescent="0.25">
      <c r="A27" s="84"/>
      <c r="B2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7" s="84"/>
      <c r="D27" s="84"/>
      <c r="E27" s="84"/>
      <c r="F27" s="84"/>
      <c r="G27" s="84"/>
      <c r="H27" s="84"/>
      <c r="I27" s="84"/>
      <c r="J27" s="84"/>
      <c r="K27" s="76" t="str">
        <f t="shared" si="0"/>
        <v>Paid</v>
      </c>
      <c r="L27" s="76">
        <f t="shared" si="1"/>
        <v>0</v>
      </c>
    </row>
    <row r="28" spans="1:12" x14ac:dyDescent="0.25">
      <c r="A28" s="84"/>
      <c r="B2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8" s="84"/>
      <c r="D28" s="84"/>
      <c r="E28" s="84"/>
      <c r="F28" s="84"/>
      <c r="G28" s="84"/>
      <c r="H28" s="84"/>
      <c r="I28" s="84"/>
      <c r="J28" s="84"/>
      <c r="K28" s="76" t="str">
        <f t="shared" si="0"/>
        <v>Paid</v>
      </c>
      <c r="L28" s="76">
        <f t="shared" si="1"/>
        <v>0</v>
      </c>
    </row>
    <row r="29" spans="1:12" x14ac:dyDescent="0.25">
      <c r="A29" s="84"/>
      <c r="B2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9" s="84"/>
      <c r="D29" s="84"/>
      <c r="E29" s="84"/>
      <c r="F29" s="84"/>
      <c r="G29" s="84"/>
      <c r="H29" s="84"/>
      <c r="I29" s="84"/>
      <c r="J29" s="84"/>
      <c r="K29" s="76" t="str">
        <f t="shared" si="0"/>
        <v>Paid</v>
      </c>
      <c r="L29" s="76">
        <f t="shared" si="1"/>
        <v>0</v>
      </c>
    </row>
    <row r="30" spans="1:12" x14ac:dyDescent="0.25">
      <c r="A30" s="84"/>
      <c r="B3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0" s="84"/>
      <c r="D30" s="84"/>
      <c r="E30" s="84"/>
      <c r="F30" s="84"/>
      <c r="G30" s="84"/>
      <c r="H30" s="84"/>
      <c r="I30" s="84"/>
      <c r="J30" s="84"/>
      <c r="K30" s="76" t="str">
        <f t="shared" si="0"/>
        <v>Paid</v>
      </c>
      <c r="L30" s="76">
        <f t="shared" si="1"/>
        <v>0</v>
      </c>
    </row>
    <row r="31" spans="1:12" x14ac:dyDescent="0.25">
      <c r="A31" s="84"/>
      <c r="B3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1" s="84"/>
      <c r="D31" s="84"/>
      <c r="E31" s="84"/>
      <c r="F31" s="84"/>
      <c r="G31" s="84"/>
      <c r="H31" s="84"/>
      <c r="I31" s="84"/>
      <c r="J31" s="84"/>
      <c r="K31" s="76" t="str">
        <f t="shared" si="0"/>
        <v>Paid</v>
      </c>
      <c r="L31" s="76">
        <f t="shared" si="1"/>
        <v>0</v>
      </c>
    </row>
    <row r="32" spans="1:12" x14ac:dyDescent="0.25">
      <c r="A32" s="84"/>
      <c r="B3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2" s="84"/>
      <c r="D32" s="84"/>
      <c r="E32" s="84"/>
      <c r="F32" s="84"/>
      <c r="G32" s="84"/>
      <c r="H32" s="84"/>
      <c r="I32" s="84"/>
      <c r="J32" s="84"/>
      <c r="K32" s="76" t="str">
        <f t="shared" si="0"/>
        <v>Paid</v>
      </c>
      <c r="L32" s="76">
        <f t="shared" si="1"/>
        <v>0</v>
      </c>
    </row>
    <row r="33" spans="1:12" x14ac:dyDescent="0.25">
      <c r="A33" s="84"/>
      <c r="B3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3" s="84"/>
      <c r="D33" s="84"/>
      <c r="E33" s="84"/>
      <c r="F33" s="84"/>
      <c r="G33" s="84"/>
      <c r="H33" s="84"/>
      <c r="I33" s="84"/>
      <c r="J33" s="84"/>
      <c r="K33" s="76" t="str">
        <f t="shared" si="0"/>
        <v>Paid</v>
      </c>
      <c r="L33" s="76">
        <f t="shared" si="1"/>
        <v>0</v>
      </c>
    </row>
    <row r="34" spans="1:12" x14ac:dyDescent="0.25">
      <c r="A34" s="84"/>
      <c r="B3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4" s="84"/>
      <c r="D34" s="84"/>
      <c r="E34" s="84"/>
      <c r="F34" s="84"/>
      <c r="G34" s="84"/>
      <c r="H34" s="84"/>
      <c r="I34" s="84"/>
      <c r="J34" s="84"/>
      <c r="K34" s="76" t="str">
        <f t="shared" si="0"/>
        <v>Paid</v>
      </c>
      <c r="L34" s="76">
        <f t="shared" si="1"/>
        <v>0</v>
      </c>
    </row>
    <row r="35" spans="1:12" x14ac:dyDescent="0.25">
      <c r="A35" s="84"/>
      <c r="B3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5" s="84"/>
      <c r="D35" s="84"/>
      <c r="E35" s="84"/>
      <c r="F35" s="84"/>
      <c r="G35" s="84"/>
      <c r="H35" s="84"/>
      <c r="I35" s="84"/>
      <c r="J35" s="84"/>
      <c r="K35" s="76" t="str">
        <f t="shared" si="0"/>
        <v>Paid</v>
      </c>
      <c r="L35" s="76">
        <f t="shared" si="1"/>
        <v>0</v>
      </c>
    </row>
    <row r="36" spans="1:12" x14ac:dyDescent="0.25">
      <c r="A36" s="84"/>
      <c r="B3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6" s="84"/>
      <c r="D36" s="84"/>
      <c r="E36" s="84"/>
      <c r="F36" s="84"/>
      <c r="G36" s="84"/>
      <c r="H36" s="84"/>
      <c r="I36" s="84"/>
      <c r="J36" s="84"/>
      <c r="K36" s="76" t="str">
        <f t="shared" si="0"/>
        <v>Paid</v>
      </c>
      <c r="L36" s="76">
        <f t="shared" si="1"/>
        <v>0</v>
      </c>
    </row>
    <row r="37" spans="1:12" x14ac:dyDescent="0.25">
      <c r="A37" s="84"/>
      <c r="B3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7" s="84"/>
      <c r="D37" s="84"/>
      <c r="E37" s="84"/>
      <c r="F37" s="84"/>
      <c r="G37" s="84"/>
      <c r="H37" s="84"/>
      <c r="I37" s="84"/>
      <c r="J37" s="84"/>
      <c r="K37" s="76" t="str">
        <f t="shared" si="0"/>
        <v>Paid</v>
      </c>
      <c r="L37" s="76">
        <f t="shared" si="1"/>
        <v>0</v>
      </c>
    </row>
    <row r="38" spans="1:12" x14ac:dyDescent="0.25">
      <c r="A38" s="84"/>
      <c r="B3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8" s="84"/>
      <c r="D38" s="84"/>
      <c r="E38" s="84"/>
      <c r="F38" s="84"/>
      <c r="G38" s="84"/>
      <c r="H38" s="84"/>
      <c r="I38" s="84"/>
      <c r="J38" s="84"/>
      <c r="K38" s="76" t="str">
        <f t="shared" si="0"/>
        <v>Paid</v>
      </c>
      <c r="L38" s="76">
        <f t="shared" si="1"/>
        <v>0</v>
      </c>
    </row>
    <row r="39" spans="1:12" x14ac:dyDescent="0.25">
      <c r="A39" s="84"/>
      <c r="B3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9" s="84"/>
      <c r="D39" s="84"/>
      <c r="E39" s="84"/>
      <c r="F39" s="84"/>
      <c r="G39" s="84"/>
      <c r="H39" s="84"/>
      <c r="I39" s="84"/>
      <c r="J39" s="84"/>
      <c r="K39" s="76" t="str">
        <f t="shared" si="0"/>
        <v>Paid</v>
      </c>
      <c r="L39" s="76">
        <f t="shared" si="1"/>
        <v>0</v>
      </c>
    </row>
    <row r="40" spans="1:12" x14ac:dyDescent="0.25">
      <c r="A40" s="84"/>
      <c r="B4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0" s="84"/>
      <c r="D40" s="84"/>
      <c r="E40" s="84"/>
      <c r="F40" s="84"/>
      <c r="G40" s="84"/>
      <c r="H40" s="84"/>
      <c r="I40" s="84"/>
      <c r="J40" s="84"/>
      <c r="K40" s="76" t="str">
        <f t="shared" si="0"/>
        <v>Paid</v>
      </c>
      <c r="L40" s="76">
        <f t="shared" si="1"/>
        <v>0</v>
      </c>
    </row>
    <row r="41" spans="1:12" x14ac:dyDescent="0.25">
      <c r="A41" s="84"/>
      <c r="B4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1" s="84"/>
      <c r="D41" s="84"/>
      <c r="E41" s="84"/>
      <c r="F41" s="84"/>
      <c r="G41" s="84"/>
      <c r="H41" s="84"/>
      <c r="I41" s="84"/>
      <c r="J41" s="84"/>
      <c r="K41" s="76" t="str">
        <f t="shared" si="0"/>
        <v>Paid</v>
      </c>
      <c r="L41" s="76">
        <f t="shared" si="1"/>
        <v>0</v>
      </c>
    </row>
    <row r="42" spans="1:12" x14ac:dyDescent="0.25">
      <c r="A42" s="84"/>
      <c r="B4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2" s="84"/>
      <c r="D42" s="84"/>
      <c r="E42" s="84"/>
      <c r="F42" s="84"/>
      <c r="G42" s="84"/>
      <c r="H42" s="84"/>
      <c r="I42" s="84"/>
      <c r="J42" s="84"/>
      <c r="K42" s="76" t="str">
        <f t="shared" si="0"/>
        <v>Paid</v>
      </c>
      <c r="L42" s="76">
        <f t="shared" si="1"/>
        <v>0</v>
      </c>
    </row>
    <row r="43" spans="1:12" x14ac:dyDescent="0.25">
      <c r="A43" s="84"/>
      <c r="B4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3" s="84"/>
      <c r="D43" s="84"/>
      <c r="E43" s="84"/>
      <c r="F43" s="84"/>
      <c r="G43" s="84"/>
      <c r="H43" s="84"/>
      <c r="I43" s="84"/>
      <c r="J43" s="84"/>
      <c r="K43" s="76" t="str">
        <f t="shared" si="0"/>
        <v>Paid</v>
      </c>
      <c r="L43" s="76">
        <f t="shared" si="1"/>
        <v>0</v>
      </c>
    </row>
    <row r="44" spans="1:12" x14ac:dyDescent="0.25">
      <c r="A44" s="84"/>
      <c r="B4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4" s="84"/>
      <c r="D44" s="84"/>
      <c r="E44" s="84"/>
      <c r="F44" s="84"/>
      <c r="G44" s="84"/>
      <c r="H44" s="84"/>
      <c r="I44" s="84"/>
      <c r="J44" s="84"/>
      <c r="K44" s="76" t="str">
        <f t="shared" si="0"/>
        <v>Paid</v>
      </c>
      <c r="L44" s="76">
        <f t="shared" si="1"/>
        <v>0</v>
      </c>
    </row>
    <row r="45" spans="1:12" x14ac:dyDescent="0.25">
      <c r="A45" s="84"/>
      <c r="B4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5" s="84"/>
      <c r="D45" s="84"/>
      <c r="E45" s="84"/>
      <c r="F45" s="84"/>
      <c r="G45" s="84"/>
      <c r="H45" s="84"/>
      <c r="I45" s="84"/>
      <c r="J45" s="84"/>
      <c r="K45" s="76" t="str">
        <f t="shared" si="0"/>
        <v>Paid</v>
      </c>
      <c r="L45" s="76">
        <f t="shared" si="1"/>
        <v>0</v>
      </c>
    </row>
    <row r="46" spans="1:12" x14ac:dyDescent="0.25">
      <c r="A46" s="84"/>
      <c r="B4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6" s="84"/>
      <c r="D46" s="84"/>
      <c r="E46" s="84"/>
      <c r="F46" s="84"/>
      <c r="G46" s="84"/>
      <c r="H46" s="84"/>
      <c r="I46" s="84"/>
      <c r="J46" s="84"/>
      <c r="K46" s="76" t="str">
        <f t="shared" si="0"/>
        <v>Paid</v>
      </c>
      <c r="L46" s="76">
        <f t="shared" si="1"/>
        <v>0</v>
      </c>
    </row>
    <row r="47" spans="1:12" x14ac:dyDescent="0.25">
      <c r="A47" s="84"/>
      <c r="B4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7" s="84"/>
      <c r="D47" s="84"/>
      <c r="E47" s="84"/>
      <c r="F47" s="84"/>
      <c r="G47" s="84"/>
      <c r="H47" s="84"/>
      <c r="I47" s="84"/>
      <c r="J47" s="84"/>
      <c r="K47" s="76" t="str">
        <f t="shared" si="0"/>
        <v>Paid</v>
      </c>
      <c r="L47" s="76">
        <f t="shared" si="1"/>
        <v>0</v>
      </c>
    </row>
    <row r="48" spans="1:12" x14ac:dyDescent="0.25">
      <c r="A48" s="84"/>
      <c r="B4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8" s="84"/>
      <c r="D48" s="84"/>
      <c r="E48" s="84"/>
      <c r="F48" s="84"/>
      <c r="G48" s="84"/>
      <c r="H48" s="84"/>
      <c r="I48" s="84"/>
      <c r="J48" s="84"/>
      <c r="K48" s="76" t="str">
        <f t="shared" si="0"/>
        <v>Paid</v>
      </c>
      <c r="L48" s="76">
        <f t="shared" si="1"/>
        <v>0</v>
      </c>
    </row>
    <row r="49" spans="1:12" x14ac:dyDescent="0.25">
      <c r="A49" s="84"/>
      <c r="B4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9" s="84"/>
      <c r="D49" s="84"/>
      <c r="E49" s="84"/>
      <c r="F49" s="84"/>
      <c r="G49" s="84"/>
      <c r="H49" s="84"/>
      <c r="I49" s="84"/>
      <c r="J49" s="84"/>
      <c r="K49" s="76" t="str">
        <f t="shared" si="0"/>
        <v>Paid</v>
      </c>
      <c r="L49" s="76">
        <f t="shared" si="1"/>
        <v>0</v>
      </c>
    </row>
    <row r="50" spans="1:12" x14ac:dyDescent="0.25">
      <c r="A50" s="84"/>
      <c r="B5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0" s="84"/>
      <c r="D50" s="84"/>
      <c r="E50" s="84"/>
      <c r="F50" s="84"/>
      <c r="G50" s="84"/>
      <c r="H50" s="84"/>
      <c r="I50" s="84"/>
      <c r="J50" s="84"/>
      <c r="K50" s="76" t="str">
        <f t="shared" si="0"/>
        <v>Paid</v>
      </c>
      <c r="L50" s="76">
        <f t="shared" si="1"/>
        <v>0</v>
      </c>
    </row>
    <row r="51" spans="1:12" x14ac:dyDescent="0.25">
      <c r="A51" s="84"/>
      <c r="B5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1" s="84"/>
      <c r="D51" s="84"/>
      <c r="E51" s="84"/>
      <c r="F51" s="84"/>
      <c r="G51" s="84"/>
      <c r="H51" s="84"/>
      <c r="I51" s="84"/>
      <c r="J51" s="84"/>
      <c r="K51" s="76" t="str">
        <f t="shared" si="0"/>
        <v>Paid</v>
      </c>
      <c r="L51" s="76">
        <f t="shared" si="1"/>
        <v>0</v>
      </c>
    </row>
    <row r="52" spans="1:12" x14ac:dyDescent="0.25">
      <c r="A52" s="84"/>
      <c r="B5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2" s="84"/>
      <c r="D52" s="84"/>
      <c r="E52" s="84"/>
      <c r="F52" s="84"/>
      <c r="G52" s="84"/>
      <c r="H52" s="84"/>
      <c r="I52" s="84"/>
      <c r="J52" s="84"/>
      <c r="K52" s="76" t="str">
        <f t="shared" si="0"/>
        <v>Paid</v>
      </c>
      <c r="L52" s="76">
        <f t="shared" si="1"/>
        <v>0</v>
      </c>
    </row>
    <row r="53" spans="1:12" x14ac:dyDescent="0.25">
      <c r="A53" s="84"/>
      <c r="B5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3" s="84"/>
      <c r="D53" s="84"/>
      <c r="E53" s="84"/>
      <c r="F53" s="84"/>
      <c r="G53" s="84"/>
      <c r="H53" s="84"/>
      <c r="I53" s="84"/>
      <c r="J53" s="84"/>
      <c r="K53" s="76" t="str">
        <f t="shared" si="0"/>
        <v>Paid</v>
      </c>
      <c r="L53" s="76">
        <f t="shared" si="1"/>
        <v>0</v>
      </c>
    </row>
    <row r="54" spans="1:12" x14ac:dyDescent="0.25">
      <c r="A54" s="84"/>
      <c r="B5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4" s="84"/>
      <c r="D54" s="84"/>
      <c r="E54" s="84"/>
      <c r="F54" s="84"/>
      <c r="G54" s="84"/>
      <c r="H54" s="84"/>
      <c r="I54" s="84"/>
      <c r="J54" s="84"/>
      <c r="K54" s="76" t="str">
        <f t="shared" si="0"/>
        <v>Paid</v>
      </c>
      <c r="L54" s="76">
        <f t="shared" si="1"/>
        <v>0</v>
      </c>
    </row>
    <row r="55" spans="1:12" x14ac:dyDescent="0.25">
      <c r="A55" s="84"/>
      <c r="B5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5" s="84"/>
      <c r="D55" s="84"/>
      <c r="E55" s="84"/>
      <c r="F55" s="84"/>
      <c r="G55" s="84"/>
      <c r="H55" s="84"/>
      <c r="I55" s="84"/>
      <c r="J55" s="84"/>
      <c r="K55" s="76" t="str">
        <f t="shared" si="0"/>
        <v>Paid</v>
      </c>
      <c r="L55" s="76">
        <f t="shared" si="1"/>
        <v>0</v>
      </c>
    </row>
    <row r="56" spans="1:12" x14ac:dyDescent="0.25">
      <c r="A56" s="84"/>
      <c r="B5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6" s="84"/>
      <c r="D56" s="84"/>
      <c r="E56" s="84"/>
      <c r="F56" s="84"/>
      <c r="G56" s="84"/>
      <c r="H56" s="84"/>
      <c r="I56" s="84"/>
      <c r="J56" s="84"/>
      <c r="K56" s="76" t="str">
        <f t="shared" si="0"/>
        <v>Paid</v>
      </c>
      <c r="L56" s="76">
        <f t="shared" si="1"/>
        <v>0</v>
      </c>
    </row>
    <row r="57" spans="1:12" x14ac:dyDescent="0.25">
      <c r="A57" s="84"/>
      <c r="B5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7" s="84"/>
      <c r="D57" s="84"/>
      <c r="E57" s="84"/>
      <c r="F57" s="84"/>
      <c r="G57" s="84"/>
      <c r="H57" s="84"/>
      <c r="I57" s="84"/>
      <c r="J57" s="84"/>
      <c r="K57" s="76" t="str">
        <f t="shared" si="0"/>
        <v>Paid</v>
      </c>
      <c r="L57" s="76">
        <f t="shared" si="1"/>
        <v>0</v>
      </c>
    </row>
    <row r="58" spans="1:12" x14ac:dyDescent="0.25">
      <c r="A58" s="84"/>
      <c r="B5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8" s="84"/>
      <c r="D58" s="84"/>
      <c r="E58" s="84"/>
      <c r="F58" s="84"/>
      <c r="G58" s="84"/>
      <c r="H58" s="84"/>
      <c r="I58" s="84"/>
      <c r="J58" s="84"/>
      <c r="K58" s="76" t="str">
        <f t="shared" si="0"/>
        <v>Paid</v>
      </c>
      <c r="L58" s="76">
        <f t="shared" si="1"/>
        <v>0</v>
      </c>
    </row>
    <row r="59" spans="1:12" x14ac:dyDescent="0.25">
      <c r="A59" s="84"/>
      <c r="B5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9" s="84"/>
      <c r="D59" s="84"/>
      <c r="E59" s="84"/>
      <c r="F59" s="84"/>
      <c r="G59" s="84"/>
      <c r="H59" s="84"/>
      <c r="I59" s="84"/>
      <c r="J59" s="84"/>
      <c r="K59" s="76" t="str">
        <f t="shared" si="0"/>
        <v>Paid</v>
      </c>
      <c r="L59" s="76">
        <f t="shared" si="1"/>
        <v>0</v>
      </c>
    </row>
    <row r="60" spans="1:12" x14ac:dyDescent="0.25">
      <c r="A60" s="84"/>
      <c r="B6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0" s="84"/>
      <c r="D60" s="84"/>
      <c r="E60" s="84"/>
      <c r="F60" s="84"/>
      <c r="G60" s="84"/>
      <c r="H60" s="84"/>
      <c r="I60" s="84"/>
      <c r="J60" s="84"/>
      <c r="K60" s="76" t="str">
        <f t="shared" si="0"/>
        <v>Paid</v>
      </c>
      <c r="L60" s="76">
        <f t="shared" si="1"/>
        <v>0</v>
      </c>
    </row>
    <row r="61" spans="1:12" x14ac:dyDescent="0.25">
      <c r="A61" s="84"/>
      <c r="B6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1" s="84"/>
      <c r="D61" s="84"/>
      <c r="E61" s="84"/>
      <c r="F61" s="84"/>
      <c r="G61" s="84"/>
      <c r="H61" s="84"/>
      <c r="I61" s="84"/>
      <c r="J61" s="84"/>
      <c r="K61" s="76" t="str">
        <f t="shared" si="0"/>
        <v>Paid</v>
      </c>
      <c r="L61" s="76">
        <f t="shared" si="1"/>
        <v>0</v>
      </c>
    </row>
    <row r="62" spans="1:12" x14ac:dyDescent="0.25">
      <c r="A62" s="84"/>
      <c r="B6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2" s="84"/>
      <c r="D62" s="84"/>
      <c r="E62" s="84"/>
      <c r="F62" s="84"/>
      <c r="G62" s="84"/>
      <c r="H62" s="84"/>
      <c r="I62" s="84"/>
      <c r="J62" s="84"/>
      <c r="K62" s="76" t="str">
        <f t="shared" si="0"/>
        <v>Paid</v>
      </c>
      <c r="L62" s="76">
        <f t="shared" si="1"/>
        <v>0</v>
      </c>
    </row>
    <row r="63" spans="1:12" x14ac:dyDescent="0.25">
      <c r="A63" s="84"/>
      <c r="B6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3" s="84"/>
      <c r="D63" s="84"/>
      <c r="E63" s="84"/>
      <c r="F63" s="84"/>
      <c r="G63" s="84"/>
      <c r="H63" s="84"/>
      <c r="I63" s="84"/>
      <c r="J63" s="84"/>
      <c r="K63" s="76" t="str">
        <f t="shared" si="0"/>
        <v>Paid</v>
      </c>
      <c r="L63" s="76">
        <f t="shared" si="1"/>
        <v>0</v>
      </c>
    </row>
    <row r="64" spans="1:12" x14ac:dyDescent="0.25">
      <c r="A64" s="84"/>
      <c r="B6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4" s="84"/>
      <c r="D64" s="84"/>
      <c r="E64" s="84"/>
      <c r="F64" s="84"/>
      <c r="G64" s="84"/>
      <c r="H64" s="84"/>
      <c r="I64" s="84"/>
      <c r="J64" s="84"/>
      <c r="K64" s="76" t="str">
        <f t="shared" si="0"/>
        <v>Paid</v>
      </c>
      <c r="L64" s="76">
        <f t="shared" si="1"/>
        <v>0</v>
      </c>
    </row>
    <row r="65" spans="1:12" x14ac:dyDescent="0.25">
      <c r="A65" s="84"/>
      <c r="B6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5" s="84"/>
      <c r="D65" s="84"/>
      <c r="E65" s="84"/>
      <c r="F65" s="84"/>
      <c r="G65" s="84"/>
      <c r="H65" s="84"/>
      <c r="I65" s="84"/>
      <c r="J65" s="84"/>
      <c r="K65" s="76" t="str">
        <f t="shared" si="0"/>
        <v>Paid</v>
      </c>
      <c r="L65" s="76">
        <f t="shared" si="1"/>
        <v>0</v>
      </c>
    </row>
    <row r="66" spans="1:12" x14ac:dyDescent="0.25">
      <c r="A66" s="84"/>
      <c r="B6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6" s="84"/>
      <c r="D66" s="84"/>
      <c r="E66" s="84"/>
      <c r="F66" s="84"/>
      <c r="G66" s="84"/>
      <c r="H66" s="84"/>
      <c r="I66" s="84"/>
      <c r="J66" s="84"/>
      <c r="K66" s="76" t="str">
        <f t="shared" ref="K66:K101" si="2">IF(H66=0,"Paid","Outstanding")</f>
        <v>Paid</v>
      </c>
      <c r="L66" s="76">
        <f t="shared" ref="L66:L101" si="3">F66-G66</f>
        <v>0</v>
      </c>
    </row>
    <row r="67" spans="1:12" x14ac:dyDescent="0.25">
      <c r="A67" s="84"/>
      <c r="B6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7" s="84"/>
      <c r="D67" s="84"/>
      <c r="E67" s="84"/>
      <c r="F67" s="84"/>
      <c r="G67" s="84"/>
      <c r="H67" s="84"/>
      <c r="I67" s="84"/>
      <c r="J67" s="84"/>
      <c r="K67" s="76" t="str">
        <f t="shared" si="2"/>
        <v>Paid</v>
      </c>
      <c r="L67" s="76">
        <f t="shared" si="3"/>
        <v>0</v>
      </c>
    </row>
    <row r="68" spans="1:12" x14ac:dyDescent="0.25">
      <c r="A68" s="84"/>
      <c r="B6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8" s="84"/>
      <c r="D68" s="84"/>
      <c r="E68" s="84"/>
      <c r="F68" s="84"/>
      <c r="G68" s="84"/>
      <c r="H68" s="84"/>
      <c r="I68" s="84"/>
      <c r="J68" s="84"/>
      <c r="K68" s="76" t="str">
        <f t="shared" si="2"/>
        <v>Paid</v>
      </c>
      <c r="L68" s="76">
        <f t="shared" si="3"/>
        <v>0</v>
      </c>
    </row>
    <row r="69" spans="1:12" x14ac:dyDescent="0.25">
      <c r="A69" s="84"/>
      <c r="B6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9" s="84"/>
      <c r="D69" s="84"/>
      <c r="E69" s="84"/>
      <c r="F69" s="84"/>
      <c r="G69" s="84"/>
      <c r="H69" s="84"/>
      <c r="I69" s="84"/>
      <c r="J69" s="84"/>
      <c r="K69" s="76" t="str">
        <f t="shared" si="2"/>
        <v>Paid</v>
      </c>
      <c r="L69" s="76">
        <f t="shared" si="3"/>
        <v>0</v>
      </c>
    </row>
    <row r="70" spans="1:12" x14ac:dyDescent="0.25">
      <c r="A70" s="84"/>
      <c r="B7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0" s="84"/>
      <c r="D70" s="84"/>
      <c r="E70" s="84"/>
      <c r="F70" s="84"/>
      <c r="G70" s="84"/>
      <c r="H70" s="84"/>
      <c r="I70" s="84"/>
      <c r="J70" s="84"/>
      <c r="K70" s="76" t="str">
        <f t="shared" si="2"/>
        <v>Paid</v>
      </c>
      <c r="L70" s="76">
        <f t="shared" si="3"/>
        <v>0</v>
      </c>
    </row>
    <row r="71" spans="1:12" x14ac:dyDescent="0.25">
      <c r="A71" s="84"/>
      <c r="B7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1" s="84"/>
      <c r="D71" s="84"/>
      <c r="E71" s="84"/>
      <c r="F71" s="84"/>
      <c r="G71" s="84"/>
      <c r="H71" s="84"/>
      <c r="I71" s="84"/>
      <c r="J71" s="84"/>
      <c r="K71" s="76" t="str">
        <f t="shared" si="2"/>
        <v>Paid</v>
      </c>
      <c r="L71" s="76">
        <f t="shared" si="3"/>
        <v>0</v>
      </c>
    </row>
    <row r="72" spans="1:12" x14ac:dyDescent="0.25">
      <c r="A72" s="84"/>
      <c r="B7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2" s="84"/>
      <c r="D72" s="84"/>
      <c r="E72" s="84"/>
      <c r="F72" s="84"/>
      <c r="G72" s="84"/>
      <c r="H72" s="84"/>
      <c r="I72" s="84"/>
      <c r="J72" s="84"/>
      <c r="K72" s="76" t="str">
        <f t="shared" si="2"/>
        <v>Paid</v>
      </c>
      <c r="L72" s="76">
        <f t="shared" si="3"/>
        <v>0</v>
      </c>
    </row>
    <row r="73" spans="1:12" x14ac:dyDescent="0.25">
      <c r="A73" s="84"/>
      <c r="B7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3" s="84"/>
      <c r="D73" s="84"/>
      <c r="E73" s="84"/>
      <c r="F73" s="84"/>
      <c r="G73" s="84"/>
      <c r="H73" s="84"/>
      <c r="I73" s="84"/>
      <c r="J73" s="84"/>
      <c r="K73" s="76" t="str">
        <f t="shared" si="2"/>
        <v>Paid</v>
      </c>
      <c r="L73" s="76">
        <f t="shared" si="3"/>
        <v>0</v>
      </c>
    </row>
    <row r="74" spans="1:12" x14ac:dyDescent="0.25">
      <c r="A74" s="84"/>
      <c r="B7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4" s="84"/>
      <c r="D74" s="84"/>
      <c r="E74" s="84"/>
      <c r="F74" s="84"/>
      <c r="G74" s="84"/>
      <c r="H74" s="84"/>
      <c r="I74" s="84"/>
      <c r="J74" s="84"/>
      <c r="K74" s="76" t="str">
        <f t="shared" si="2"/>
        <v>Paid</v>
      </c>
      <c r="L74" s="76">
        <f t="shared" si="3"/>
        <v>0</v>
      </c>
    </row>
    <row r="75" spans="1:12" x14ac:dyDescent="0.25">
      <c r="A75" s="84"/>
      <c r="B7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5" s="84"/>
      <c r="D75" s="84"/>
      <c r="E75" s="84"/>
      <c r="F75" s="84"/>
      <c r="G75" s="84"/>
      <c r="H75" s="84"/>
      <c r="I75" s="84"/>
      <c r="J75" s="84"/>
      <c r="K75" s="76" t="str">
        <f t="shared" si="2"/>
        <v>Paid</v>
      </c>
      <c r="L75" s="76">
        <f t="shared" si="3"/>
        <v>0</v>
      </c>
    </row>
    <row r="76" spans="1:12" x14ac:dyDescent="0.25">
      <c r="A76" s="84"/>
      <c r="B7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6" s="84"/>
      <c r="D76" s="84"/>
      <c r="E76" s="84"/>
      <c r="F76" s="84"/>
      <c r="G76" s="84"/>
      <c r="H76" s="84"/>
      <c r="I76" s="84"/>
      <c r="J76" s="84"/>
      <c r="K76" s="76" t="str">
        <f t="shared" si="2"/>
        <v>Paid</v>
      </c>
      <c r="L76" s="76">
        <f t="shared" si="3"/>
        <v>0</v>
      </c>
    </row>
    <row r="77" spans="1:12" x14ac:dyDescent="0.25">
      <c r="A77" s="84"/>
      <c r="B7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7" s="84"/>
      <c r="D77" s="84"/>
      <c r="E77" s="84"/>
      <c r="F77" s="84"/>
      <c r="G77" s="84"/>
      <c r="H77" s="84"/>
      <c r="I77" s="84"/>
      <c r="J77" s="84"/>
      <c r="K77" s="76" t="str">
        <f t="shared" si="2"/>
        <v>Paid</v>
      </c>
      <c r="L77" s="76">
        <f t="shared" si="3"/>
        <v>0</v>
      </c>
    </row>
    <row r="78" spans="1:12" x14ac:dyDescent="0.25">
      <c r="A78" s="84"/>
      <c r="B7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8" s="84"/>
      <c r="D78" s="84"/>
      <c r="E78" s="84"/>
      <c r="F78" s="84"/>
      <c r="G78" s="84"/>
      <c r="H78" s="84"/>
      <c r="I78" s="84"/>
      <c r="J78" s="84"/>
      <c r="K78" s="76" t="str">
        <f t="shared" si="2"/>
        <v>Paid</v>
      </c>
      <c r="L78" s="76">
        <f t="shared" si="3"/>
        <v>0</v>
      </c>
    </row>
    <row r="79" spans="1:12" x14ac:dyDescent="0.25">
      <c r="A79" s="84"/>
      <c r="B7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9" s="84"/>
      <c r="D79" s="84"/>
      <c r="E79" s="84"/>
      <c r="F79" s="84"/>
      <c r="G79" s="84"/>
      <c r="H79" s="84"/>
      <c r="I79" s="84"/>
      <c r="J79" s="84"/>
      <c r="K79" s="76" t="str">
        <f t="shared" si="2"/>
        <v>Paid</v>
      </c>
      <c r="L79" s="76">
        <f t="shared" si="3"/>
        <v>0</v>
      </c>
    </row>
    <row r="80" spans="1:12" x14ac:dyDescent="0.25">
      <c r="A80" s="84"/>
      <c r="B8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0" s="84"/>
      <c r="D80" s="84"/>
      <c r="E80" s="84"/>
      <c r="F80" s="84"/>
      <c r="G80" s="84"/>
      <c r="H80" s="84"/>
      <c r="I80" s="84"/>
      <c r="J80" s="84"/>
      <c r="K80" s="76" t="str">
        <f t="shared" si="2"/>
        <v>Paid</v>
      </c>
      <c r="L80" s="76">
        <f t="shared" si="3"/>
        <v>0</v>
      </c>
    </row>
    <row r="81" spans="1:12" x14ac:dyDescent="0.25">
      <c r="A81" s="84"/>
      <c r="B8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1" s="84"/>
      <c r="D81" s="84"/>
      <c r="E81" s="84"/>
      <c r="F81" s="84"/>
      <c r="G81" s="84"/>
      <c r="H81" s="84"/>
      <c r="I81" s="84"/>
      <c r="J81" s="84"/>
      <c r="K81" s="76" t="str">
        <f t="shared" si="2"/>
        <v>Paid</v>
      </c>
      <c r="L81" s="76">
        <f t="shared" si="3"/>
        <v>0</v>
      </c>
    </row>
    <row r="82" spans="1:12" x14ac:dyDescent="0.25">
      <c r="A82" s="84"/>
      <c r="B8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2" s="84"/>
      <c r="D82" s="84"/>
      <c r="E82" s="84"/>
      <c r="F82" s="84"/>
      <c r="G82" s="84"/>
      <c r="H82" s="84"/>
      <c r="I82" s="84"/>
      <c r="J82" s="84"/>
      <c r="K82" s="76" t="str">
        <f t="shared" si="2"/>
        <v>Paid</v>
      </c>
      <c r="L82" s="76">
        <f t="shared" si="3"/>
        <v>0</v>
      </c>
    </row>
    <row r="83" spans="1:12" x14ac:dyDescent="0.25">
      <c r="A83" s="84"/>
      <c r="B8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3" s="84"/>
      <c r="D83" s="84"/>
      <c r="E83" s="84"/>
      <c r="F83" s="84"/>
      <c r="G83" s="84"/>
      <c r="H83" s="84"/>
      <c r="I83" s="84"/>
      <c r="J83" s="84"/>
      <c r="K83" s="76" t="str">
        <f t="shared" si="2"/>
        <v>Paid</v>
      </c>
      <c r="L83" s="76">
        <f t="shared" si="3"/>
        <v>0</v>
      </c>
    </row>
    <row r="84" spans="1:12" x14ac:dyDescent="0.25">
      <c r="A84" s="84"/>
      <c r="B8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4" s="84"/>
      <c r="D84" s="84"/>
      <c r="E84" s="84"/>
      <c r="F84" s="84"/>
      <c r="G84" s="84"/>
      <c r="H84" s="84"/>
      <c r="I84" s="84"/>
      <c r="J84" s="84"/>
      <c r="K84" s="76" t="str">
        <f t="shared" si="2"/>
        <v>Paid</v>
      </c>
      <c r="L84" s="76">
        <f t="shared" si="3"/>
        <v>0</v>
      </c>
    </row>
    <row r="85" spans="1:12" x14ac:dyDescent="0.25">
      <c r="A85" s="84"/>
      <c r="B8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5" s="84"/>
      <c r="D85" s="84"/>
      <c r="E85" s="84"/>
      <c r="F85" s="84"/>
      <c r="G85" s="84"/>
      <c r="H85" s="84"/>
      <c r="I85" s="84"/>
      <c r="J85" s="84"/>
      <c r="K85" s="76" t="str">
        <f t="shared" si="2"/>
        <v>Paid</v>
      </c>
      <c r="L85" s="76">
        <f t="shared" si="3"/>
        <v>0</v>
      </c>
    </row>
    <row r="86" spans="1:12" x14ac:dyDescent="0.25">
      <c r="A86" s="84"/>
      <c r="B8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6" s="84"/>
      <c r="D86" s="84"/>
      <c r="E86" s="84"/>
      <c r="F86" s="84"/>
      <c r="G86" s="84"/>
      <c r="H86" s="84"/>
      <c r="I86" s="84"/>
      <c r="J86" s="84"/>
      <c r="K86" s="76" t="str">
        <f t="shared" si="2"/>
        <v>Paid</v>
      </c>
      <c r="L86" s="76">
        <f t="shared" si="3"/>
        <v>0</v>
      </c>
    </row>
    <row r="87" spans="1:12" x14ac:dyDescent="0.25">
      <c r="A87" s="84"/>
      <c r="B8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7" s="84"/>
      <c r="D87" s="84"/>
      <c r="E87" s="84"/>
      <c r="F87" s="84"/>
      <c r="G87" s="84"/>
      <c r="H87" s="84"/>
      <c r="I87" s="84"/>
      <c r="J87" s="84"/>
      <c r="K87" s="76" t="str">
        <f t="shared" si="2"/>
        <v>Paid</v>
      </c>
      <c r="L87" s="76">
        <f t="shared" si="3"/>
        <v>0</v>
      </c>
    </row>
    <row r="88" spans="1:12" x14ac:dyDescent="0.25">
      <c r="A88" s="84"/>
      <c r="B8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8" s="84"/>
      <c r="D88" s="84"/>
      <c r="E88" s="84"/>
      <c r="F88" s="84"/>
      <c r="G88" s="84"/>
      <c r="H88" s="84"/>
      <c r="I88" s="84"/>
      <c r="J88" s="84"/>
      <c r="K88" s="76" t="str">
        <f t="shared" si="2"/>
        <v>Paid</v>
      </c>
      <c r="L88" s="76">
        <f t="shared" si="3"/>
        <v>0</v>
      </c>
    </row>
    <row r="89" spans="1:12" x14ac:dyDescent="0.25">
      <c r="A89" s="84"/>
      <c r="B8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9" s="84"/>
      <c r="D89" s="84"/>
      <c r="E89" s="84"/>
      <c r="F89" s="84"/>
      <c r="G89" s="84"/>
      <c r="H89" s="84"/>
      <c r="I89" s="84"/>
      <c r="J89" s="84"/>
      <c r="K89" s="76" t="str">
        <f t="shared" si="2"/>
        <v>Paid</v>
      </c>
      <c r="L89" s="76">
        <f t="shared" si="3"/>
        <v>0</v>
      </c>
    </row>
    <row r="90" spans="1:12" x14ac:dyDescent="0.25">
      <c r="A90" s="84"/>
      <c r="B9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0" s="84"/>
      <c r="D90" s="84"/>
      <c r="E90" s="84"/>
      <c r="F90" s="84"/>
      <c r="G90" s="84"/>
      <c r="H90" s="84"/>
      <c r="I90" s="84"/>
      <c r="J90" s="84"/>
      <c r="K90" s="76" t="str">
        <f t="shared" si="2"/>
        <v>Paid</v>
      </c>
      <c r="L90" s="76">
        <f t="shared" si="3"/>
        <v>0</v>
      </c>
    </row>
    <row r="91" spans="1:12" x14ac:dyDescent="0.25">
      <c r="A91" s="84"/>
      <c r="B9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1" s="84"/>
      <c r="D91" s="84"/>
      <c r="E91" s="84"/>
      <c r="F91" s="84"/>
      <c r="G91" s="84"/>
      <c r="H91" s="84"/>
      <c r="I91" s="84"/>
      <c r="J91" s="84"/>
      <c r="K91" s="76" t="str">
        <f t="shared" si="2"/>
        <v>Paid</v>
      </c>
      <c r="L91" s="76">
        <f t="shared" si="3"/>
        <v>0</v>
      </c>
    </row>
    <row r="92" spans="1:12" x14ac:dyDescent="0.25">
      <c r="A92" s="84"/>
      <c r="B9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2" s="84"/>
      <c r="D92" s="84"/>
      <c r="E92" s="84"/>
      <c r="F92" s="84"/>
      <c r="G92" s="84"/>
      <c r="H92" s="84"/>
      <c r="I92" s="84"/>
      <c r="J92" s="84"/>
      <c r="K92" s="76" t="str">
        <f t="shared" si="2"/>
        <v>Paid</v>
      </c>
      <c r="L92" s="76">
        <f t="shared" si="3"/>
        <v>0</v>
      </c>
    </row>
    <row r="93" spans="1:12" x14ac:dyDescent="0.25">
      <c r="A93" s="84"/>
      <c r="B9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3" s="84"/>
      <c r="D93" s="84"/>
      <c r="E93" s="84"/>
      <c r="F93" s="84"/>
      <c r="G93" s="84"/>
      <c r="H93" s="84"/>
      <c r="I93" s="84"/>
      <c r="J93" s="84"/>
      <c r="K93" s="76" t="str">
        <f t="shared" si="2"/>
        <v>Paid</v>
      </c>
      <c r="L93" s="76">
        <f t="shared" si="3"/>
        <v>0</v>
      </c>
    </row>
    <row r="94" spans="1:12" x14ac:dyDescent="0.25">
      <c r="A94" s="84"/>
      <c r="B9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4" s="84"/>
      <c r="D94" s="84"/>
      <c r="E94" s="84"/>
      <c r="F94" s="84"/>
      <c r="G94" s="84"/>
      <c r="H94" s="84"/>
      <c r="I94" s="84"/>
      <c r="J94" s="84"/>
      <c r="K94" s="76" t="str">
        <f t="shared" si="2"/>
        <v>Paid</v>
      </c>
      <c r="L94" s="76">
        <f t="shared" si="3"/>
        <v>0</v>
      </c>
    </row>
    <row r="95" spans="1:12" x14ac:dyDescent="0.25">
      <c r="A95" s="84"/>
      <c r="B9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5" s="84"/>
      <c r="D95" s="84"/>
      <c r="E95" s="84"/>
      <c r="F95" s="84"/>
      <c r="G95" s="84"/>
      <c r="H95" s="84"/>
      <c r="I95" s="84"/>
      <c r="J95" s="84"/>
      <c r="K95" s="76" t="str">
        <f t="shared" si="2"/>
        <v>Paid</v>
      </c>
      <c r="L95" s="76">
        <f t="shared" si="3"/>
        <v>0</v>
      </c>
    </row>
    <row r="96" spans="1:12" x14ac:dyDescent="0.25">
      <c r="A96" s="84"/>
      <c r="B9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6" s="84"/>
      <c r="D96" s="84"/>
      <c r="E96" s="84"/>
      <c r="F96" s="84"/>
      <c r="G96" s="84"/>
      <c r="H96" s="84"/>
      <c r="I96" s="84"/>
      <c r="J96" s="84"/>
      <c r="K96" s="76" t="str">
        <f t="shared" si="2"/>
        <v>Paid</v>
      </c>
      <c r="L96" s="76">
        <f t="shared" si="3"/>
        <v>0</v>
      </c>
    </row>
    <row r="97" spans="1:12" x14ac:dyDescent="0.25">
      <c r="A97" s="84"/>
      <c r="B9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7" s="84"/>
      <c r="D97" s="84"/>
      <c r="E97" s="84"/>
      <c r="F97" s="84"/>
      <c r="G97" s="84"/>
      <c r="H97" s="84"/>
      <c r="I97" s="84"/>
      <c r="J97" s="84"/>
      <c r="K97" s="76" t="str">
        <f t="shared" si="2"/>
        <v>Paid</v>
      </c>
      <c r="L97" s="76">
        <f t="shared" si="3"/>
        <v>0</v>
      </c>
    </row>
    <row r="98" spans="1:12" x14ac:dyDescent="0.25">
      <c r="A98" s="84"/>
      <c r="B9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8" s="84"/>
      <c r="D98" s="84"/>
      <c r="E98" s="84"/>
      <c r="F98" s="84"/>
      <c r="G98" s="84"/>
      <c r="H98" s="84"/>
      <c r="I98" s="84"/>
      <c r="J98" s="84"/>
      <c r="K98" s="76" t="str">
        <f t="shared" si="2"/>
        <v>Paid</v>
      </c>
      <c r="L98" s="76">
        <f t="shared" si="3"/>
        <v>0</v>
      </c>
    </row>
    <row r="99" spans="1:12" x14ac:dyDescent="0.25">
      <c r="A99" s="84"/>
      <c r="B9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9" s="84"/>
      <c r="D99" s="84"/>
      <c r="E99" s="84"/>
      <c r="F99" s="84"/>
      <c r="G99" s="84"/>
      <c r="H99" s="84"/>
      <c r="I99" s="84"/>
      <c r="J99" s="84"/>
      <c r="K99" s="76" t="str">
        <f t="shared" si="2"/>
        <v>Paid</v>
      </c>
      <c r="L99" s="76">
        <f t="shared" si="3"/>
        <v>0</v>
      </c>
    </row>
    <row r="100" spans="1:12" x14ac:dyDescent="0.25">
      <c r="A100" s="84"/>
      <c r="B10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00" s="84"/>
      <c r="D100" s="84"/>
      <c r="E100" s="84"/>
      <c r="F100" s="84"/>
      <c r="G100" s="84"/>
      <c r="H100" s="84"/>
      <c r="I100" s="84"/>
      <c r="J100" s="84"/>
      <c r="K100" s="76" t="str">
        <f t="shared" si="2"/>
        <v>Paid</v>
      </c>
      <c r="L100" s="76">
        <f t="shared" si="3"/>
        <v>0</v>
      </c>
    </row>
    <row r="101" spans="1:12" x14ac:dyDescent="0.25">
      <c r="A101" s="84"/>
      <c r="B10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01" s="84"/>
      <c r="D101" s="84"/>
      <c r="E101" s="84"/>
      <c r="F101" s="84"/>
      <c r="G101" s="84"/>
      <c r="H101" s="84"/>
      <c r="I101" s="84"/>
      <c r="J101" s="84"/>
      <c r="K101" s="76" t="str">
        <f t="shared" si="2"/>
        <v>Paid</v>
      </c>
      <c r="L101" s="76">
        <f t="shared" si="3"/>
        <v>0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AD81-BDA9-4DBA-A134-B6CD9FB4A55B}">
  <dimension ref="A1:F1"/>
  <sheetViews>
    <sheetView workbookViewId="0">
      <selection activeCell="I6" sqref="I6"/>
    </sheetView>
  </sheetViews>
  <sheetFormatPr defaultRowHeight="15" x14ac:dyDescent="0.25"/>
  <cols>
    <col min="1" max="1" width="13.140625" bestFit="1" customWidth="1"/>
    <col min="2" max="2" width="7.42578125" bestFit="1" customWidth="1"/>
    <col min="3" max="3" width="16" bestFit="1" customWidth="1"/>
    <col min="4" max="4" width="13.42578125" bestFit="1" customWidth="1"/>
    <col min="5" max="5" width="15.42578125" bestFit="1" customWidth="1"/>
    <col min="6" max="6" width="14.7109375" bestFit="1" customWidth="1"/>
  </cols>
  <sheetData>
    <row r="1" spans="1:6" x14ac:dyDescent="0.25">
      <c r="A1" t="s">
        <v>0</v>
      </c>
      <c r="B1" t="s">
        <v>18</v>
      </c>
      <c r="C1" t="s">
        <v>58</v>
      </c>
      <c r="D1" t="s">
        <v>59</v>
      </c>
      <c r="E1" t="s">
        <v>60</v>
      </c>
      <c r="F1" t="s">
        <v>61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6740-118F-4293-9BA9-4FAE53F3C816}">
  <dimension ref="A1:L101"/>
  <sheetViews>
    <sheetView workbookViewId="0">
      <selection activeCell="A2" sqref="A2"/>
    </sheetView>
  </sheetViews>
  <sheetFormatPr defaultRowHeight="15" x14ac:dyDescent="0.25"/>
  <cols>
    <col min="1" max="1" width="9.5703125" style="81" customWidth="1"/>
    <col min="2" max="2" width="30.28515625" style="81" bestFit="1" customWidth="1"/>
    <col min="3" max="3" width="11" style="81" customWidth="1"/>
    <col min="4" max="4" width="13" style="81" customWidth="1"/>
    <col min="5" max="5" width="14.5703125" style="81" customWidth="1"/>
    <col min="6" max="6" width="18.140625" customWidth="1"/>
    <col min="7" max="7" width="9.140625" style="81"/>
    <col min="8" max="8" width="15.7109375" bestFit="1" customWidth="1"/>
    <col min="9" max="9" width="10.5703125" style="81" customWidth="1"/>
    <col min="10" max="10" width="15.42578125" style="81" customWidth="1"/>
    <col min="11" max="11" width="13.5703125" customWidth="1"/>
    <col min="12" max="12" width="26.28515625" style="2" bestFit="1" customWidth="1"/>
  </cols>
  <sheetData>
    <row r="1" spans="1:12" x14ac:dyDescent="0.25">
      <c r="A1" s="81" t="s">
        <v>208</v>
      </c>
      <c r="B1" s="81" t="s">
        <v>209</v>
      </c>
      <c r="C1" s="81" t="s">
        <v>210</v>
      </c>
      <c r="D1" s="81" t="s">
        <v>211</v>
      </c>
      <c r="E1" s="81" t="s">
        <v>212</v>
      </c>
      <c r="F1" t="s">
        <v>213</v>
      </c>
      <c r="G1" s="81" t="s">
        <v>222</v>
      </c>
      <c r="H1" t="s">
        <v>218</v>
      </c>
      <c r="I1" s="81" t="s">
        <v>214</v>
      </c>
      <c r="J1" s="81" t="s">
        <v>215</v>
      </c>
      <c r="K1" t="s">
        <v>216</v>
      </c>
      <c r="L1" s="2" t="s">
        <v>217</v>
      </c>
    </row>
    <row r="2" spans="1:12" x14ac:dyDescent="0.25">
      <c r="A2" s="81" t="s">
        <v>219</v>
      </c>
      <c r="B2" s="81" t="s">
        <v>221</v>
      </c>
      <c r="C2" s="81" t="s">
        <v>220</v>
      </c>
      <c r="D2" s="81">
        <v>10</v>
      </c>
      <c r="E2" s="81">
        <v>3</v>
      </c>
      <c r="F2">
        <f>Table3[[#This Row],[Quantity In]]-Table3[[#This Row],[Quantity Out]]</f>
        <v>7</v>
      </c>
      <c r="G2" s="81">
        <v>5000</v>
      </c>
      <c r="H2">
        <f>Table3[[#This Row],[Quantity In]]*Table3[[#This Row],[Unit Price]]</f>
        <v>50000</v>
      </c>
      <c r="I2" s="81" t="s">
        <v>223</v>
      </c>
      <c r="J2" s="81">
        <v>5</v>
      </c>
      <c r="K2" t="str">
        <f>IF(Table3[[#This Row],[Quantity Balance]]&lt;=Table3[[#This Row],[Reorder Level]],"Reorder!","OK")</f>
        <v>OK</v>
      </c>
      <c r="L2" s="2">
        <f t="shared" ref="L2:L33" ca="1" si="0">TODAY()</f>
        <v>46018</v>
      </c>
    </row>
    <row r="3" spans="1:12" x14ac:dyDescent="0.25">
      <c r="F3">
        <f>Table3[[#This Row],[Quantity In]]-Table3[[#This Row],[Quantity Out]]</f>
        <v>0</v>
      </c>
      <c r="H3">
        <f>Table3[[#This Row],[Quantity In]]*Table3[[#This Row],[Unit Price]]</f>
        <v>0</v>
      </c>
      <c r="K3" t="str">
        <f>IF(Table3[[#This Row],[Quantity Balance]]&lt;=Table3[[#This Row],[Reorder Level]],"Reorder!","OK")</f>
        <v>Reorder!</v>
      </c>
      <c r="L3" s="2">
        <f t="shared" ca="1" si="0"/>
        <v>46018</v>
      </c>
    </row>
    <row r="4" spans="1:12" x14ac:dyDescent="0.25">
      <c r="F4">
        <f>Table3[[#This Row],[Quantity In]]-Table3[[#This Row],[Quantity Out]]</f>
        <v>0</v>
      </c>
      <c r="H4">
        <f>Table3[[#This Row],[Quantity In]]*Table3[[#This Row],[Unit Price]]</f>
        <v>0</v>
      </c>
      <c r="K4" t="str">
        <f>IF(Table3[[#This Row],[Quantity Balance]]&lt;=Table3[[#This Row],[Reorder Level]],"Reorder!","OK")</f>
        <v>Reorder!</v>
      </c>
      <c r="L4" s="2">
        <f t="shared" ca="1" si="0"/>
        <v>46018</v>
      </c>
    </row>
    <row r="5" spans="1:12" x14ac:dyDescent="0.25">
      <c r="F5">
        <f>Table3[[#This Row],[Quantity In]]-Table3[[#This Row],[Quantity Out]]</f>
        <v>0</v>
      </c>
      <c r="H5">
        <f>Table3[[#This Row],[Quantity In]]*Table3[[#This Row],[Unit Price]]</f>
        <v>0</v>
      </c>
      <c r="K5" t="str">
        <f>IF(Table3[[#This Row],[Quantity Balance]]&lt;=Table3[[#This Row],[Reorder Level]],"Reorder!","OK")</f>
        <v>Reorder!</v>
      </c>
      <c r="L5" s="2">
        <f t="shared" ca="1" si="0"/>
        <v>46018</v>
      </c>
    </row>
    <row r="6" spans="1:12" x14ac:dyDescent="0.25">
      <c r="F6">
        <f>Table3[[#This Row],[Quantity In]]-Table3[[#This Row],[Quantity Out]]</f>
        <v>0</v>
      </c>
      <c r="H6">
        <f>Table3[[#This Row],[Quantity In]]*Table3[[#This Row],[Unit Price]]</f>
        <v>0</v>
      </c>
      <c r="K6" t="str">
        <f>IF(Table3[[#This Row],[Quantity Balance]]&lt;=Table3[[#This Row],[Reorder Level]],"Reorder!","OK")</f>
        <v>Reorder!</v>
      </c>
      <c r="L6" s="2">
        <f t="shared" ca="1" si="0"/>
        <v>46018</v>
      </c>
    </row>
    <row r="7" spans="1:12" x14ac:dyDescent="0.25">
      <c r="F7">
        <f>Table3[[#This Row],[Quantity In]]-Table3[[#This Row],[Quantity Out]]</f>
        <v>0</v>
      </c>
      <c r="H7">
        <f>Table3[[#This Row],[Quantity In]]*Table3[[#This Row],[Unit Price]]</f>
        <v>0</v>
      </c>
      <c r="K7" t="str">
        <f>IF(Table3[[#This Row],[Quantity Balance]]&lt;=Table3[[#This Row],[Reorder Level]],"Reorder!","OK")</f>
        <v>Reorder!</v>
      </c>
      <c r="L7" s="2">
        <f t="shared" ca="1" si="0"/>
        <v>46018</v>
      </c>
    </row>
    <row r="8" spans="1:12" x14ac:dyDescent="0.25">
      <c r="F8">
        <f>Table3[[#This Row],[Quantity In]]-Table3[[#This Row],[Quantity Out]]</f>
        <v>0</v>
      </c>
      <c r="H8">
        <f>Table3[[#This Row],[Quantity In]]*Table3[[#This Row],[Unit Price]]</f>
        <v>0</v>
      </c>
      <c r="K8" t="str">
        <f>IF(Table3[[#This Row],[Quantity Balance]]&lt;=Table3[[#This Row],[Reorder Level]],"Reorder!","OK")</f>
        <v>Reorder!</v>
      </c>
      <c r="L8" s="2">
        <f t="shared" ca="1" si="0"/>
        <v>46018</v>
      </c>
    </row>
    <row r="9" spans="1:12" x14ac:dyDescent="0.25">
      <c r="F9">
        <f>Table3[[#This Row],[Quantity In]]-Table3[[#This Row],[Quantity Out]]</f>
        <v>0</v>
      </c>
      <c r="H9">
        <f>Table3[[#This Row],[Quantity In]]*Table3[[#This Row],[Unit Price]]</f>
        <v>0</v>
      </c>
      <c r="K9" t="str">
        <f>IF(Table3[[#This Row],[Quantity Balance]]&lt;=Table3[[#This Row],[Reorder Level]],"Reorder!","OK")</f>
        <v>Reorder!</v>
      </c>
      <c r="L9" s="2">
        <f t="shared" ca="1" si="0"/>
        <v>46018</v>
      </c>
    </row>
    <row r="10" spans="1:12" x14ac:dyDescent="0.25">
      <c r="F10">
        <f>Table3[[#This Row],[Quantity In]]-Table3[[#This Row],[Quantity Out]]</f>
        <v>0</v>
      </c>
      <c r="H10">
        <f>Table3[[#This Row],[Quantity In]]*Table3[[#This Row],[Unit Price]]</f>
        <v>0</v>
      </c>
      <c r="K10" t="str">
        <f>IF(Table3[[#This Row],[Quantity Balance]]&lt;=Table3[[#This Row],[Reorder Level]],"Reorder!","OK")</f>
        <v>Reorder!</v>
      </c>
      <c r="L10" s="2">
        <f t="shared" ca="1" si="0"/>
        <v>46018</v>
      </c>
    </row>
    <row r="11" spans="1:12" x14ac:dyDescent="0.25">
      <c r="F11">
        <f>Table3[[#This Row],[Quantity In]]-Table3[[#This Row],[Quantity Out]]</f>
        <v>0</v>
      </c>
      <c r="H11">
        <f>Table3[[#This Row],[Quantity In]]*Table3[[#This Row],[Unit Price]]</f>
        <v>0</v>
      </c>
      <c r="K11" t="str">
        <f>IF(Table3[[#This Row],[Quantity Balance]]&lt;=Table3[[#This Row],[Reorder Level]],"Reorder!","OK")</f>
        <v>Reorder!</v>
      </c>
      <c r="L11" s="2">
        <f t="shared" ca="1" si="0"/>
        <v>46018</v>
      </c>
    </row>
    <row r="12" spans="1:12" x14ac:dyDescent="0.25">
      <c r="F12">
        <f>Table3[[#This Row],[Quantity In]]-Table3[[#This Row],[Quantity Out]]</f>
        <v>0</v>
      </c>
      <c r="H12">
        <f>Table3[[#This Row],[Quantity In]]*Table3[[#This Row],[Unit Price]]</f>
        <v>0</v>
      </c>
      <c r="K12" t="str">
        <f>IF(Table3[[#This Row],[Quantity Balance]]&lt;=Table3[[#This Row],[Reorder Level]],"Reorder!","OK")</f>
        <v>Reorder!</v>
      </c>
      <c r="L12" s="2">
        <f t="shared" ca="1" si="0"/>
        <v>46018</v>
      </c>
    </row>
    <row r="13" spans="1:12" x14ac:dyDescent="0.25">
      <c r="F13">
        <f>Table3[[#This Row],[Quantity In]]-Table3[[#This Row],[Quantity Out]]</f>
        <v>0</v>
      </c>
      <c r="H13">
        <f>Table3[[#This Row],[Quantity In]]*Table3[[#This Row],[Unit Price]]</f>
        <v>0</v>
      </c>
      <c r="K13" t="str">
        <f>IF(Table3[[#This Row],[Quantity Balance]]&lt;=Table3[[#This Row],[Reorder Level]],"Reorder!","OK")</f>
        <v>Reorder!</v>
      </c>
      <c r="L13" s="2">
        <f t="shared" ca="1" si="0"/>
        <v>46018</v>
      </c>
    </row>
    <row r="14" spans="1:12" x14ac:dyDescent="0.25">
      <c r="F14">
        <f>Table3[[#This Row],[Quantity In]]-Table3[[#This Row],[Quantity Out]]</f>
        <v>0</v>
      </c>
      <c r="H14">
        <f>Table3[[#This Row],[Quantity In]]*Table3[[#This Row],[Unit Price]]</f>
        <v>0</v>
      </c>
      <c r="K14" t="str">
        <f>IF(Table3[[#This Row],[Quantity Balance]]&lt;=Table3[[#This Row],[Reorder Level]],"Reorder!","OK")</f>
        <v>Reorder!</v>
      </c>
      <c r="L14" s="2">
        <f t="shared" ca="1" si="0"/>
        <v>46018</v>
      </c>
    </row>
    <row r="15" spans="1:12" x14ac:dyDescent="0.25">
      <c r="F15">
        <f>Table3[[#This Row],[Quantity In]]-Table3[[#This Row],[Quantity Out]]</f>
        <v>0</v>
      </c>
      <c r="H15">
        <f>Table3[[#This Row],[Quantity In]]*Table3[[#This Row],[Unit Price]]</f>
        <v>0</v>
      </c>
      <c r="K15" t="str">
        <f>IF(Table3[[#This Row],[Quantity Balance]]&lt;=Table3[[#This Row],[Reorder Level]],"Reorder!","OK")</f>
        <v>Reorder!</v>
      </c>
      <c r="L15" s="2">
        <f t="shared" ca="1" si="0"/>
        <v>46018</v>
      </c>
    </row>
    <row r="16" spans="1:12" x14ac:dyDescent="0.25">
      <c r="F16">
        <f>Table3[[#This Row],[Quantity In]]-Table3[[#This Row],[Quantity Out]]</f>
        <v>0</v>
      </c>
      <c r="H16">
        <f>Table3[[#This Row],[Quantity In]]*Table3[[#This Row],[Unit Price]]</f>
        <v>0</v>
      </c>
      <c r="K16" t="str">
        <f>IF(Table3[[#This Row],[Quantity Balance]]&lt;=Table3[[#This Row],[Reorder Level]],"Reorder!","OK")</f>
        <v>Reorder!</v>
      </c>
      <c r="L16" s="2">
        <f t="shared" ca="1" si="0"/>
        <v>46018</v>
      </c>
    </row>
    <row r="17" spans="6:12" x14ac:dyDescent="0.25">
      <c r="F17">
        <f>Table3[[#This Row],[Quantity In]]-Table3[[#This Row],[Quantity Out]]</f>
        <v>0</v>
      </c>
      <c r="H17">
        <f>Table3[[#This Row],[Quantity In]]*Table3[[#This Row],[Unit Price]]</f>
        <v>0</v>
      </c>
      <c r="K17" t="str">
        <f>IF(Table3[[#This Row],[Quantity Balance]]&lt;=Table3[[#This Row],[Reorder Level]],"Reorder!","OK")</f>
        <v>Reorder!</v>
      </c>
      <c r="L17" s="2">
        <f t="shared" ca="1" si="0"/>
        <v>46018</v>
      </c>
    </row>
    <row r="18" spans="6:12" x14ac:dyDescent="0.25">
      <c r="F18">
        <f>Table3[[#This Row],[Quantity In]]-Table3[[#This Row],[Quantity Out]]</f>
        <v>0</v>
      </c>
      <c r="H18">
        <f>Table3[[#This Row],[Quantity In]]*Table3[[#This Row],[Unit Price]]</f>
        <v>0</v>
      </c>
      <c r="K18" t="str">
        <f>IF(Table3[[#This Row],[Quantity Balance]]&lt;=Table3[[#This Row],[Reorder Level]],"Reorder!","OK")</f>
        <v>Reorder!</v>
      </c>
      <c r="L18" s="2">
        <f t="shared" ca="1" si="0"/>
        <v>46018</v>
      </c>
    </row>
    <row r="19" spans="6:12" x14ac:dyDescent="0.25">
      <c r="F19">
        <f>Table3[[#This Row],[Quantity In]]-Table3[[#This Row],[Quantity Out]]</f>
        <v>0</v>
      </c>
      <c r="H19">
        <f>Table3[[#This Row],[Quantity In]]*Table3[[#This Row],[Unit Price]]</f>
        <v>0</v>
      </c>
      <c r="K19" t="str">
        <f>IF(Table3[[#This Row],[Quantity Balance]]&lt;=Table3[[#This Row],[Reorder Level]],"Reorder!","OK")</f>
        <v>Reorder!</v>
      </c>
      <c r="L19" s="2">
        <f t="shared" ca="1" si="0"/>
        <v>46018</v>
      </c>
    </row>
    <row r="20" spans="6:12" x14ac:dyDescent="0.25">
      <c r="F20">
        <f>Table3[[#This Row],[Quantity In]]-Table3[[#This Row],[Quantity Out]]</f>
        <v>0</v>
      </c>
      <c r="H20">
        <f>Table3[[#This Row],[Quantity In]]*Table3[[#This Row],[Unit Price]]</f>
        <v>0</v>
      </c>
      <c r="K20" t="str">
        <f>IF(Table3[[#This Row],[Quantity Balance]]&lt;=Table3[[#This Row],[Reorder Level]],"Reorder!","OK")</f>
        <v>Reorder!</v>
      </c>
      <c r="L20" s="2">
        <f t="shared" ca="1" si="0"/>
        <v>46018</v>
      </c>
    </row>
    <row r="21" spans="6:12" x14ac:dyDescent="0.25">
      <c r="F21">
        <f>Table3[[#This Row],[Quantity In]]-Table3[[#This Row],[Quantity Out]]</f>
        <v>0</v>
      </c>
      <c r="H21">
        <f>Table3[[#This Row],[Quantity In]]*Table3[[#This Row],[Unit Price]]</f>
        <v>0</v>
      </c>
      <c r="K21" t="str">
        <f>IF(Table3[[#This Row],[Quantity Balance]]&lt;=Table3[[#This Row],[Reorder Level]],"Reorder!","OK")</f>
        <v>Reorder!</v>
      </c>
      <c r="L21" s="2">
        <f t="shared" ca="1" si="0"/>
        <v>46018</v>
      </c>
    </row>
    <row r="22" spans="6:12" x14ac:dyDescent="0.25">
      <c r="F22">
        <f>Table3[[#This Row],[Quantity In]]-Table3[[#This Row],[Quantity Out]]</f>
        <v>0</v>
      </c>
      <c r="H22">
        <f>Table3[[#This Row],[Quantity In]]*Table3[[#This Row],[Unit Price]]</f>
        <v>0</v>
      </c>
      <c r="K22" t="str">
        <f>IF(Table3[[#This Row],[Quantity Balance]]&lt;=Table3[[#This Row],[Reorder Level]],"Reorder!","OK")</f>
        <v>Reorder!</v>
      </c>
      <c r="L22" s="2">
        <f t="shared" ca="1" si="0"/>
        <v>46018</v>
      </c>
    </row>
    <row r="23" spans="6:12" x14ac:dyDescent="0.25">
      <c r="F23">
        <f>Table3[[#This Row],[Quantity In]]-Table3[[#This Row],[Quantity Out]]</f>
        <v>0</v>
      </c>
      <c r="H23">
        <f>Table3[[#This Row],[Quantity In]]*Table3[[#This Row],[Unit Price]]</f>
        <v>0</v>
      </c>
      <c r="K23" t="str">
        <f>IF(Table3[[#This Row],[Quantity Balance]]&lt;=Table3[[#This Row],[Reorder Level]],"Reorder!","OK")</f>
        <v>Reorder!</v>
      </c>
      <c r="L23" s="2">
        <f t="shared" ca="1" si="0"/>
        <v>46018</v>
      </c>
    </row>
    <row r="24" spans="6:12" x14ac:dyDescent="0.25">
      <c r="F24">
        <f>Table3[[#This Row],[Quantity In]]-Table3[[#This Row],[Quantity Out]]</f>
        <v>0</v>
      </c>
      <c r="H24">
        <f>Table3[[#This Row],[Quantity In]]*Table3[[#This Row],[Unit Price]]</f>
        <v>0</v>
      </c>
      <c r="K24" t="str">
        <f>IF(Table3[[#This Row],[Quantity Balance]]&lt;=Table3[[#This Row],[Reorder Level]],"Reorder!","OK")</f>
        <v>Reorder!</v>
      </c>
      <c r="L24" s="2">
        <f t="shared" ca="1" si="0"/>
        <v>46018</v>
      </c>
    </row>
    <row r="25" spans="6:12" x14ac:dyDescent="0.25">
      <c r="F25">
        <f>Table3[[#This Row],[Quantity In]]-Table3[[#This Row],[Quantity Out]]</f>
        <v>0</v>
      </c>
      <c r="H25">
        <f>Table3[[#This Row],[Quantity In]]*Table3[[#This Row],[Unit Price]]</f>
        <v>0</v>
      </c>
      <c r="K25" t="str">
        <f>IF(Table3[[#This Row],[Quantity Balance]]&lt;=Table3[[#This Row],[Reorder Level]],"Reorder!","OK")</f>
        <v>Reorder!</v>
      </c>
      <c r="L25" s="2">
        <f t="shared" ca="1" si="0"/>
        <v>46018</v>
      </c>
    </row>
    <row r="26" spans="6:12" x14ac:dyDescent="0.25">
      <c r="F26">
        <f>Table3[[#This Row],[Quantity In]]-Table3[[#This Row],[Quantity Out]]</f>
        <v>0</v>
      </c>
      <c r="H26">
        <f>Table3[[#This Row],[Quantity In]]*Table3[[#This Row],[Unit Price]]</f>
        <v>0</v>
      </c>
      <c r="K26" t="str">
        <f>IF(Table3[[#This Row],[Quantity Balance]]&lt;=Table3[[#This Row],[Reorder Level]],"Reorder!","OK")</f>
        <v>Reorder!</v>
      </c>
      <c r="L26" s="2">
        <f t="shared" ca="1" si="0"/>
        <v>46018</v>
      </c>
    </row>
    <row r="27" spans="6:12" x14ac:dyDescent="0.25">
      <c r="F27">
        <f>Table3[[#This Row],[Quantity In]]-Table3[[#This Row],[Quantity Out]]</f>
        <v>0</v>
      </c>
      <c r="H27">
        <f>Table3[[#This Row],[Quantity In]]*Table3[[#This Row],[Unit Price]]</f>
        <v>0</v>
      </c>
      <c r="K27" t="str">
        <f>IF(Table3[[#This Row],[Quantity Balance]]&lt;=Table3[[#This Row],[Reorder Level]],"Reorder!","OK")</f>
        <v>Reorder!</v>
      </c>
      <c r="L27" s="2">
        <f t="shared" ca="1" si="0"/>
        <v>46018</v>
      </c>
    </row>
    <row r="28" spans="6:12" x14ac:dyDescent="0.25">
      <c r="F28">
        <f>Table3[[#This Row],[Quantity In]]-Table3[[#This Row],[Quantity Out]]</f>
        <v>0</v>
      </c>
      <c r="H28">
        <f>Table3[[#This Row],[Quantity In]]*Table3[[#This Row],[Unit Price]]</f>
        <v>0</v>
      </c>
      <c r="K28" t="str">
        <f>IF(Table3[[#This Row],[Quantity Balance]]&lt;=Table3[[#This Row],[Reorder Level]],"Reorder!","OK")</f>
        <v>Reorder!</v>
      </c>
      <c r="L28" s="2">
        <f t="shared" ca="1" si="0"/>
        <v>46018</v>
      </c>
    </row>
    <row r="29" spans="6:12" x14ac:dyDescent="0.25">
      <c r="F29">
        <f>Table3[[#This Row],[Quantity In]]-Table3[[#This Row],[Quantity Out]]</f>
        <v>0</v>
      </c>
      <c r="H29">
        <f>Table3[[#This Row],[Quantity In]]*Table3[[#This Row],[Unit Price]]</f>
        <v>0</v>
      </c>
      <c r="K29" t="str">
        <f>IF(Table3[[#This Row],[Quantity Balance]]&lt;=Table3[[#This Row],[Reorder Level]],"Reorder!","OK")</f>
        <v>Reorder!</v>
      </c>
      <c r="L29" s="2">
        <f t="shared" ca="1" si="0"/>
        <v>46018</v>
      </c>
    </row>
    <row r="30" spans="6:12" x14ac:dyDescent="0.25">
      <c r="F30">
        <f>Table3[[#This Row],[Quantity In]]-Table3[[#This Row],[Quantity Out]]</f>
        <v>0</v>
      </c>
      <c r="H30">
        <f>Table3[[#This Row],[Quantity In]]*Table3[[#This Row],[Unit Price]]</f>
        <v>0</v>
      </c>
      <c r="K30" t="str">
        <f>IF(Table3[[#This Row],[Quantity Balance]]&lt;=Table3[[#This Row],[Reorder Level]],"Reorder!","OK")</f>
        <v>Reorder!</v>
      </c>
      <c r="L30" s="2">
        <f t="shared" ca="1" si="0"/>
        <v>46018</v>
      </c>
    </row>
    <row r="31" spans="6:12" x14ac:dyDescent="0.25">
      <c r="F31">
        <f>Table3[[#This Row],[Quantity In]]-Table3[[#This Row],[Quantity Out]]</f>
        <v>0</v>
      </c>
      <c r="H31">
        <f>Table3[[#This Row],[Quantity In]]*Table3[[#This Row],[Unit Price]]</f>
        <v>0</v>
      </c>
      <c r="K31" t="str">
        <f>IF(Table3[[#This Row],[Quantity Balance]]&lt;=Table3[[#This Row],[Reorder Level]],"Reorder!","OK")</f>
        <v>Reorder!</v>
      </c>
      <c r="L31" s="2">
        <f t="shared" ca="1" si="0"/>
        <v>46018</v>
      </c>
    </row>
    <row r="32" spans="6:12" x14ac:dyDescent="0.25">
      <c r="F32">
        <f>Table3[[#This Row],[Quantity In]]-Table3[[#This Row],[Quantity Out]]</f>
        <v>0</v>
      </c>
      <c r="H32">
        <f>Table3[[#This Row],[Quantity In]]*Table3[[#This Row],[Unit Price]]</f>
        <v>0</v>
      </c>
      <c r="K32" t="str">
        <f>IF(Table3[[#This Row],[Quantity Balance]]&lt;=Table3[[#This Row],[Reorder Level]],"Reorder!","OK")</f>
        <v>Reorder!</v>
      </c>
      <c r="L32" s="2">
        <f t="shared" ca="1" si="0"/>
        <v>46018</v>
      </c>
    </row>
    <row r="33" spans="6:12" x14ac:dyDescent="0.25">
      <c r="F33">
        <f>Table3[[#This Row],[Quantity In]]-Table3[[#This Row],[Quantity Out]]</f>
        <v>0</v>
      </c>
      <c r="H33">
        <f>Table3[[#This Row],[Quantity In]]*Table3[[#This Row],[Unit Price]]</f>
        <v>0</v>
      </c>
      <c r="K33" t="str">
        <f>IF(Table3[[#This Row],[Quantity Balance]]&lt;=Table3[[#This Row],[Reorder Level]],"Reorder!","OK")</f>
        <v>Reorder!</v>
      </c>
      <c r="L33" s="2">
        <f t="shared" ca="1" si="0"/>
        <v>46018</v>
      </c>
    </row>
    <row r="34" spans="6:12" x14ac:dyDescent="0.25">
      <c r="F34">
        <f>Table3[[#This Row],[Quantity In]]-Table3[[#This Row],[Quantity Out]]</f>
        <v>0</v>
      </c>
      <c r="H34">
        <f>Table3[[#This Row],[Quantity In]]*Table3[[#This Row],[Unit Price]]</f>
        <v>0</v>
      </c>
      <c r="K34" t="str">
        <f>IF(Table3[[#This Row],[Quantity Balance]]&lt;=Table3[[#This Row],[Reorder Level]],"Reorder!","OK")</f>
        <v>Reorder!</v>
      </c>
      <c r="L34" s="2">
        <f t="shared" ref="L34:L65" ca="1" si="1">TODAY()</f>
        <v>46018</v>
      </c>
    </row>
    <row r="35" spans="6:12" x14ac:dyDescent="0.25">
      <c r="F35">
        <f>Table3[[#This Row],[Quantity In]]-Table3[[#This Row],[Quantity Out]]</f>
        <v>0</v>
      </c>
      <c r="H35">
        <f>Table3[[#This Row],[Quantity In]]*Table3[[#This Row],[Unit Price]]</f>
        <v>0</v>
      </c>
      <c r="K35" t="str">
        <f>IF(Table3[[#This Row],[Quantity Balance]]&lt;=Table3[[#This Row],[Reorder Level]],"Reorder!","OK")</f>
        <v>Reorder!</v>
      </c>
      <c r="L35" s="2">
        <f t="shared" ca="1" si="1"/>
        <v>46018</v>
      </c>
    </row>
    <row r="36" spans="6:12" x14ac:dyDescent="0.25">
      <c r="F36">
        <f>Table3[[#This Row],[Quantity In]]-Table3[[#This Row],[Quantity Out]]</f>
        <v>0</v>
      </c>
      <c r="H36">
        <f>Table3[[#This Row],[Quantity In]]*Table3[[#This Row],[Unit Price]]</f>
        <v>0</v>
      </c>
      <c r="K36" t="str">
        <f>IF(Table3[[#This Row],[Quantity Balance]]&lt;=Table3[[#This Row],[Reorder Level]],"Reorder!","OK")</f>
        <v>Reorder!</v>
      </c>
      <c r="L36" s="2">
        <f t="shared" ca="1" si="1"/>
        <v>46018</v>
      </c>
    </row>
    <row r="37" spans="6:12" x14ac:dyDescent="0.25">
      <c r="F37">
        <f>Table3[[#This Row],[Quantity In]]-Table3[[#This Row],[Quantity Out]]</f>
        <v>0</v>
      </c>
      <c r="H37">
        <f>Table3[[#This Row],[Quantity In]]*Table3[[#This Row],[Unit Price]]</f>
        <v>0</v>
      </c>
      <c r="K37" t="str">
        <f>IF(Table3[[#This Row],[Quantity Balance]]&lt;=Table3[[#This Row],[Reorder Level]],"Reorder!","OK")</f>
        <v>Reorder!</v>
      </c>
      <c r="L37" s="2">
        <f t="shared" ca="1" si="1"/>
        <v>46018</v>
      </c>
    </row>
    <row r="38" spans="6:12" x14ac:dyDescent="0.25">
      <c r="F38">
        <f>Table3[[#This Row],[Quantity In]]-Table3[[#This Row],[Quantity Out]]</f>
        <v>0</v>
      </c>
      <c r="H38">
        <f>Table3[[#This Row],[Quantity In]]*Table3[[#This Row],[Unit Price]]</f>
        <v>0</v>
      </c>
      <c r="K38" t="str">
        <f>IF(Table3[[#This Row],[Quantity Balance]]&lt;=Table3[[#This Row],[Reorder Level]],"Reorder!","OK")</f>
        <v>Reorder!</v>
      </c>
      <c r="L38" s="2">
        <f t="shared" ca="1" si="1"/>
        <v>46018</v>
      </c>
    </row>
    <row r="39" spans="6:12" x14ac:dyDescent="0.25">
      <c r="F39">
        <f>Table3[[#This Row],[Quantity In]]-Table3[[#This Row],[Quantity Out]]</f>
        <v>0</v>
      </c>
      <c r="H39">
        <f>Table3[[#This Row],[Quantity In]]*Table3[[#This Row],[Unit Price]]</f>
        <v>0</v>
      </c>
      <c r="K39" t="str">
        <f>IF(Table3[[#This Row],[Quantity Balance]]&lt;=Table3[[#This Row],[Reorder Level]],"Reorder!","OK")</f>
        <v>Reorder!</v>
      </c>
      <c r="L39" s="2">
        <f t="shared" ca="1" si="1"/>
        <v>46018</v>
      </c>
    </row>
    <row r="40" spans="6:12" x14ac:dyDescent="0.25">
      <c r="F40">
        <f>Table3[[#This Row],[Quantity In]]-Table3[[#This Row],[Quantity Out]]</f>
        <v>0</v>
      </c>
      <c r="H40">
        <f>Table3[[#This Row],[Quantity In]]*Table3[[#This Row],[Unit Price]]</f>
        <v>0</v>
      </c>
      <c r="K40" t="str">
        <f>IF(Table3[[#This Row],[Quantity Balance]]&lt;=Table3[[#This Row],[Reorder Level]],"Reorder!","OK")</f>
        <v>Reorder!</v>
      </c>
      <c r="L40" s="2">
        <f t="shared" ca="1" si="1"/>
        <v>46018</v>
      </c>
    </row>
    <row r="41" spans="6:12" x14ac:dyDescent="0.25">
      <c r="F41">
        <f>Table3[[#This Row],[Quantity In]]-Table3[[#This Row],[Quantity Out]]</f>
        <v>0</v>
      </c>
      <c r="H41">
        <f>Table3[[#This Row],[Quantity In]]*Table3[[#This Row],[Unit Price]]</f>
        <v>0</v>
      </c>
      <c r="K41" t="str">
        <f>IF(Table3[[#This Row],[Quantity Balance]]&lt;=Table3[[#This Row],[Reorder Level]],"Reorder!","OK")</f>
        <v>Reorder!</v>
      </c>
      <c r="L41" s="2">
        <f t="shared" ca="1" si="1"/>
        <v>46018</v>
      </c>
    </row>
    <row r="42" spans="6:12" x14ac:dyDescent="0.25">
      <c r="F42">
        <f>Table3[[#This Row],[Quantity In]]-Table3[[#This Row],[Quantity Out]]</f>
        <v>0</v>
      </c>
      <c r="H42">
        <f>Table3[[#This Row],[Quantity In]]*Table3[[#This Row],[Unit Price]]</f>
        <v>0</v>
      </c>
      <c r="K42" t="str">
        <f>IF(Table3[[#This Row],[Quantity Balance]]&lt;=Table3[[#This Row],[Reorder Level]],"Reorder!","OK")</f>
        <v>Reorder!</v>
      </c>
      <c r="L42" s="2">
        <f t="shared" ca="1" si="1"/>
        <v>46018</v>
      </c>
    </row>
    <row r="43" spans="6:12" x14ac:dyDescent="0.25">
      <c r="F43">
        <f>Table3[[#This Row],[Quantity In]]-Table3[[#This Row],[Quantity Out]]</f>
        <v>0</v>
      </c>
      <c r="H43">
        <f>Table3[[#This Row],[Quantity In]]*Table3[[#This Row],[Unit Price]]</f>
        <v>0</v>
      </c>
      <c r="K43" t="str">
        <f>IF(Table3[[#This Row],[Quantity Balance]]&lt;=Table3[[#This Row],[Reorder Level]],"Reorder!","OK")</f>
        <v>Reorder!</v>
      </c>
      <c r="L43" s="2">
        <f t="shared" ca="1" si="1"/>
        <v>46018</v>
      </c>
    </row>
    <row r="44" spans="6:12" x14ac:dyDescent="0.25">
      <c r="F44">
        <f>Table3[[#This Row],[Quantity In]]-Table3[[#This Row],[Quantity Out]]</f>
        <v>0</v>
      </c>
      <c r="H44">
        <f>Table3[[#This Row],[Quantity In]]*Table3[[#This Row],[Unit Price]]</f>
        <v>0</v>
      </c>
      <c r="K44" t="str">
        <f>IF(Table3[[#This Row],[Quantity Balance]]&lt;=Table3[[#This Row],[Reorder Level]],"Reorder!","OK")</f>
        <v>Reorder!</v>
      </c>
      <c r="L44" s="2">
        <f t="shared" ca="1" si="1"/>
        <v>46018</v>
      </c>
    </row>
    <row r="45" spans="6:12" x14ac:dyDescent="0.25">
      <c r="F45">
        <f>Table3[[#This Row],[Quantity In]]-Table3[[#This Row],[Quantity Out]]</f>
        <v>0</v>
      </c>
      <c r="H45">
        <f>Table3[[#This Row],[Quantity In]]*Table3[[#This Row],[Unit Price]]</f>
        <v>0</v>
      </c>
      <c r="K45" t="str">
        <f>IF(Table3[[#This Row],[Quantity Balance]]&lt;=Table3[[#This Row],[Reorder Level]],"Reorder!","OK")</f>
        <v>Reorder!</v>
      </c>
      <c r="L45" s="2">
        <f t="shared" ca="1" si="1"/>
        <v>46018</v>
      </c>
    </row>
    <row r="46" spans="6:12" x14ac:dyDescent="0.25">
      <c r="F46">
        <f>Table3[[#This Row],[Quantity In]]-Table3[[#This Row],[Quantity Out]]</f>
        <v>0</v>
      </c>
      <c r="H46">
        <f>Table3[[#This Row],[Quantity In]]*Table3[[#This Row],[Unit Price]]</f>
        <v>0</v>
      </c>
      <c r="K46" t="str">
        <f>IF(Table3[[#This Row],[Quantity Balance]]&lt;=Table3[[#This Row],[Reorder Level]],"Reorder!","OK")</f>
        <v>Reorder!</v>
      </c>
      <c r="L46" s="2">
        <f t="shared" ca="1" si="1"/>
        <v>46018</v>
      </c>
    </row>
    <row r="47" spans="6:12" x14ac:dyDescent="0.25">
      <c r="F47">
        <f>Table3[[#This Row],[Quantity In]]-Table3[[#This Row],[Quantity Out]]</f>
        <v>0</v>
      </c>
      <c r="H47">
        <f>Table3[[#This Row],[Quantity In]]*Table3[[#This Row],[Unit Price]]</f>
        <v>0</v>
      </c>
      <c r="K47" t="str">
        <f>IF(Table3[[#This Row],[Quantity Balance]]&lt;=Table3[[#This Row],[Reorder Level]],"Reorder!","OK")</f>
        <v>Reorder!</v>
      </c>
      <c r="L47" s="2">
        <f t="shared" ca="1" si="1"/>
        <v>46018</v>
      </c>
    </row>
    <row r="48" spans="6:12" x14ac:dyDescent="0.25">
      <c r="F48">
        <f>Table3[[#This Row],[Quantity In]]-Table3[[#This Row],[Quantity Out]]</f>
        <v>0</v>
      </c>
      <c r="H48">
        <f>Table3[[#This Row],[Quantity In]]*Table3[[#This Row],[Unit Price]]</f>
        <v>0</v>
      </c>
      <c r="K48" t="str">
        <f>IF(Table3[[#This Row],[Quantity Balance]]&lt;=Table3[[#This Row],[Reorder Level]],"Reorder!","OK")</f>
        <v>Reorder!</v>
      </c>
      <c r="L48" s="2">
        <f t="shared" ca="1" si="1"/>
        <v>46018</v>
      </c>
    </row>
    <row r="49" spans="6:12" x14ac:dyDescent="0.25">
      <c r="F49">
        <f>Table3[[#This Row],[Quantity In]]-Table3[[#This Row],[Quantity Out]]</f>
        <v>0</v>
      </c>
      <c r="H49">
        <f>Table3[[#This Row],[Quantity In]]*Table3[[#This Row],[Unit Price]]</f>
        <v>0</v>
      </c>
      <c r="K49" t="str">
        <f>IF(Table3[[#This Row],[Quantity Balance]]&lt;=Table3[[#This Row],[Reorder Level]],"Reorder!","OK")</f>
        <v>Reorder!</v>
      </c>
      <c r="L49" s="2">
        <f t="shared" ca="1" si="1"/>
        <v>46018</v>
      </c>
    </row>
    <row r="50" spans="6:12" x14ac:dyDescent="0.25">
      <c r="F50">
        <f>Table3[[#This Row],[Quantity In]]-Table3[[#This Row],[Quantity Out]]</f>
        <v>0</v>
      </c>
      <c r="H50">
        <f>Table3[[#This Row],[Quantity In]]*Table3[[#This Row],[Unit Price]]</f>
        <v>0</v>
      </c>
      <c r="K50" t="str">
        <f>IF(Table3[[#This Row],[Quantity Balance]]&lt;=Table3[[#This Row],[Reorder Level]],"Reorder!","OK")</f>
        <v>Reorder!</v>
      </c>
      <c r="L50" s="2">
        <f t="shared" ca="1" si="1"/>
        <v>46018</v>
      </c>
    </row>
    <row r="51" spans="6:12" x14ac:dyDescent="0.25">
      <c r="F51">
        <f>Table3[[#This Row],[Quantity In]]-Table3[[#This Row],[Quantity Out]]</f>
        <v>0</v>
      </c>
      <c r="H51">
        <f>Table3[[#This Row],[Quantity In]]*Table3[[#This Row],[Unit Price]]</f>
        <v>0</v>
      </c>
      <c r="K51" t="str">
        <f>IF(Table3[[#This Row],[Quantity Balance]]&lt;=Table3[[#This Row],[Reorder Level]],"Reorder!","OK")</f>
        <v>Reorder!</v>
      </c>
      <c r="L51" s="2">
        <f t="shared" ca="1" si="1"/>
        <v>46018</v>
      </c>
    </row>
    <row r="52" spans="6:12" x14ac:dyDescent="0.25">
      <c r="F52">
        <f>Table3[[#This Row],[Quantity In]]-Table3[[#This Row],[Quantity Out]]</f>
        <v>0</v>
      </c>
      <c r="H52">
        <f>Table3[[#This Row],[Quantity In]]*Table3[[#This Row],[Unit Price]]</f>
        <v>0</v>
      </c>
      <c r="K52" t="str">
        <f>IF(Table3[[#This Row],[Quantity Balance]]&lt;=Table3[[#This Row],[Reorder Level]],"Reorder!","OK")</f>
        <v>Reorder!</v>
      </c>
      <c r="L52" s="2">
        <f t="shared" ca="1" si="1"/>
        <v>46018</v>
      </c>
    </row>
    <row r="53" spans="6:12" x14ac:dyDescent="0.25">
      <c r="F53">
        <f>Table3[[#This Row],[Quantity In]]-Table3[[#This Row],[Quantity Out]]</f>
        <v>0</v>
      </c>
      <c r="H53">
        <f>Table3[[#This Row],[Quantity In]]*Table3[[#This Row],[Unit Price]]</f>
        <v>0</v>
      </c>
      <c r="K53" t="str">
        <f>IF(Table3[[#This Row],[Quantity Balance]]&lt;=Table3[[#This Row],[Reorder Level]],"Reorder!","OK")</f>
        <v>Reorder!</v>
      </c>
      <c r="L53" s="2">
        <f t="shared" ca="1" si="1"/>
        <v>46018</v>
      </c>
    </row>
    <row r="54" spans="6:12" x14ac:dyDescent="0.25">
      <c r="F54">
        <f>Table3[[#This Row],[Quantity In]]-Table3[[#This Row],[Quantity Out]]</f>
        <v>0</v>
      </c>
      <c r="H54">
        <f>Table3[[#This Row],[Quantity In]]*Table3[[#This Row],[Unit Price]]</f>
        <v>0</v>
      </c>
      <c r="K54" t="str">
        <f>IF(Table3[[#This Row],[Quantity Balance]]&lt;=Table3[[#This Row],[Reorder Level]],"Reorder!","OK")</f>
        <v>Reorder!</v>
      </c>
      <c r="L54" s="2">
        <f t="shared" ca="1" si="1"/>
        <v>46018</v>
      </c>
    </row>
    <row r="55" spans="6:12" x14ac:dyDescent="0.25">
      <c r="F55">
        <f>Table3[[#This Row],[Quantity In]]-Table3[[#This Row],[Quantity Out]]</f>
        <v>0</v>
      </c>
      <c r="H55">
        <f>Table3[[#This Row],[Quantity In]]*Table3[[#This Row],[Unit Price]]</f>
        <v>0</v>
      </c>
      <c r="K55" t="str">
        <f>IF(Table3[[#This Row],[Quantity Balance]]&lt;=Table3[[#This Row],[Reorder Level]],"Reorder!","OK")</f>
        <v>Reorder!</v>
      </c>
      <c r="L55" s="2">
        <f t="shared" ca="1" si="1"/>
        <v>46018</v>
      </c>
    </row>
    <row r="56" spans="6:12" x14ac:dyDescent="0.25">
      <c r="F56">
        <f>Table3[[#This Row],[Quantity In]]-Table3[[#This Row],[Quantity Out]]</f>
        <v>0</v>
      </c>
      <c r="H56">
        <f>Table3[[#This Row],[Quantity In]]*Table3[[#This Row],[Unit Price]]</f>
        <v>0</v>
      </c>
      <c r="K56" t="str">
        <f>IF(Table3[[#This Row],[Quantity Balance]]&lt;=Table3[[#This Row],[Reorder Level]],"Reorder!","OK")</f>
        <v>Reorder!</v>
      </c>
      <c r="L56" s="2">
        <f t="shared" ca="1" si="1"/>
        <v>46018</v>
      </c>
    </row>
    <row r="57" spans="6:12" x14ac:dyDescent="0.25">
      <c r="F57">
        <f>Table3[[#This Row],[Quantity In]]-Table3[[#This Row],[Quantity Out]]</f>
        <v>0</v>
      </c>
      <c r="H57">
        <f>Table3[[#This Row],[Quantity In]]*Table3[[#This Row],[Unit Price]]</f>
        <v>0</v>
      </c>
      <c r="K57" t="str">
        <f>IF(Table3[[#This Row],[Quantity Balance]]&lt;=Table3[[#This Row],[Reorder Level]],"Reorder!","OK")</f>
        <v>Reorder!</v>
      </c>
      <c r="L57" s="2">
        <f t="shared" ca="1" si="1"/>
        <v>46018</v>
      </c>
    </row>
    <row r="58" spans="6:12" x14ac:dyDescent="0.25">
      <c r="F58">
        <f>Table3[[#This Row],[Quantity In]]-Table3[[#This Row],[Quantity Out]]</f>
        <v>0</v>
      </c>
      <c r="H58">
        <f>Table3[[#This Row],[Quantity In]]*Table3[[#This Row],[Unit Price]]</f>
        <v>0</v>
      </c>
      <c r="K58" t="str">
        <f>IF(Table3[[#This Row],[Quantity Balance]]&lt;=Table3[[#This Row],[Reorder Level]],"Reorder!","OK")</f>
        <v>Reorder!</v>
      </c>
      <c r="L58" s="2">
        <f t="shared" ca="1" si="1"/>
        <v>46018</v>
      </c>
    </row>
    <row r="59" spans="6:12" x14ac:dyDescent="0.25">
      <c r="F59">
        <f>Table3[[#This Row],[Quantity In]]-Table3[[#This Row],[Quantity Out]]</f>
        <v>0</v>
      </c>
      <c r="H59">
        <f>Table3[[#This Row],[Quantity In]]*Table3[[#This Row],[Unit Price]]</f>
        <v>0</v>
      </c>
      <c r="K59" t="str">
        <f>IF(Table3[[#This Row],[Quantity Balance]]&lt;=Table3[[#This Row],[Reorder Level]],"Reorder!","OK")</f>
        <v>Reorder!</v>
      </c>
      <c r="L59" s="2">
        <f t="shared" ca="1" si="1"/>
        <v>46018</v>
      </c>
    </row>
    <row r="60" spans="6:12" x14ac:dyDescent="0.25">
      <c r="F60">
        <f>Table3[[#This Row],[Quantity In]]-Table3[[#This Row],[Quantity Out]]</f>
        <v>0</v>
      </c>
      <c r="H60">
        <f>Table3[[#This Row],[Quantity In]]*Table3[[#This Row],[Unit Price]]</f>
        <v>0</v>
      </c>
      <c r="K60" t="str">
        <f>IF(Table3[[#This Row],[Quantity Balance]]&lt;=Table3[[#This Row],[Reorder Level]],"Reorder!","OK")</f>
        <v>Reorder!</v>
      </c>
      <c r="L60" s="2">
        <f t="shared" ca="1" si="1"/>
        <v>46018</v>
      </c>
    </row>
    <row r="61" spans="6:12" x14ac:dyDescent="0.25">
      <c r="F61">
        <f>Table3[[#This Row],[Quantity In]]-Table3[[#This Row],[Quantity Out]]</f>
        <v>0</v>
      </c>
      <c r="H61">
        <f>Table3[[#This Row],[Quantity In]]*Table3[[#This Row],[Unit Price]]</f>
        <v>0</v>
      </c>
      <c r="K61" t="str">
        <f>IF(Table3[[#This Row],[Quantity Balance]]&lt;=Table3[[#This Row],[Reorder Level]],"Reorder!","OK")</f>
        <v>Reorder!</v>
      </c>
      <c r="L61" s="2">
        <f t="shared" ca="1" si="1"/>
        <v>46018</v>
      </c>
    </row>
    <row r="62" spans="6:12" x14ac:dyDescent="0.25">
      <c r="F62">
        <f>Table3[[#This Row],[Quantity In]]-Table3[[#This Row],[Quantity Out]]</f>
        <v>0</v>
      </c>
      <c r="H62">
        <f>Table3[[#This Row],[Quantity In]]*Table3[[#This Row],[Unit Price]]</f>
        <v>0</v>
      </c>
      <c r="K62" t="str">
        <f>IF(Table3[[#This Row],[Quantity Balance]]&lt;=Table3[[#This Row],[Reorder Level]],"Reorder!","OK")</f>
        <v>Reorder!</v>
      </c>
      <c r="L62" s="2">
        <f t="shared" ca="1" si="1"/>
        <v>46018</v>
      </c>
    </row>
    <row r="63" spans="6:12" x14ac:dyDescent="0.25">
      <c r="F63">
        <f>Table3[[#This Row],[Quantity In]]-Table3[[#This Row],[Quantity Out]]</f>
        <v>0</v>
      </c>
      <c r="H63">
        <f>Table3[[#This Row],[Quantity In]]*Table3[[#This Row],[Unit Price]]</f>
        <v>0</v>
      </c>
      <c r="K63" t="str">
        <f>IF(Table3[[#This Row],[Quantity Balance]]&lt;=Table3[[#This Row],[Reorder Level]],"Reorder!","OK")</f>
        <v>Reorder!</v>
      </c>
      <c r="L63" s="2">
        <f t="shared" ca="1" si="1"/>
        <v>46018</v>
      </c>
    </row>
    <row r="64" spans="6:12" x14ac:dyDescent="0.25">
      <c r="F64">
        <f>Table3[[#This Row],[Quantity In]]-Table3[[#This Row],[Quantity Out]]</f>
        <v>0</v>
      </c>
      <c r="H64">
        <f>Table3[[#This Row],[Quantity In]]*Table3[[#This Row],[Unit Price]]</f>
        <v>0</v>
      </c>
      <c r="K64" t="str">
        <f>IF(Table3[[#This Row],[Quantity Balance]]&lt;=Table3[[#This Row],[Reorder Level]],"Reorder!","OK")</f>
        <v>Reorder!</v>
      </c>
      <c r="L64" s="2">
        <f t="shared" ca="1" si="1"/>
        <v>46018</v>
      </c>
    </row>
    <row r="65" spans="6:12" x14ac:dyDescent="0.25">
      <c r="F65">
        <f>Table3[[#This Row],[Quantity In]]-Table3[[#This Row],[Quantity Out]]</f>
        <v>0</v>
      </c>
      <c r="H65">
        <f>Table3[[#This Row],[Quantity In]]*Table3[[#This Row],[Unit Price]]</f>
        <v>0</v>
      </c>
      <c r="K65" t="str">
        <f>IF(Table3[[#This Row],[Quantity Balance]]&lt;=Table3[[#This Row],[Reorder Level]],"Reorder!","OK")</f>
        <v>Reorder!</v>
      </c>
      <c r="L65" s="2">
        <f t="shared" ca="1" si="1"/>
        <v>46018</v>
      </c>
    </row>
    <row r="66" spans="6:12" x14ac:dyDescent="0.25">
      <c r="F66">
        <f>Table3[[#This Row],[Quantity In]]-Table3[[#This Row],[Quantity Out]]</f>
        <v>0</v>
      </c>
      <c r="H66">
        <f>Table3[[#This Row],[Quantity In]]*Table3[[#This Row],[Unit Price]]</f>
        <v>0</v>
      </c>
      <c r="K66" t="str">
        <f>IF(Table3[[#This Row],[Quantity Balance]]&lt;=Table3[[#This Row],[Reorder Level]],"Reorder!","OK")</f>
        <v>Reorder!</v>
      </c>
      <c r="L66" s="2">
        <f t="shared" ref="L66:L101" ca="1" si="2">TODAY()</f>
        <v>46018</v>
      </c>
    </row>
    <row r="67" spans="6:12" x14ac:dyDescent="0.25">
      <c r="F67">
        <f>Table3[[#This Row],[Quantity In]]-Table3[[#This Row],[Quantity Out]]</f>
        <v>0</v>
      </c>
      <c r="H67">
        <f>Table3[[#This Row],[Quantity In]]*Table3[[#This Row],[Unit Price]]</f>
        <v>0</v>
      </c>
      <c r="K67" t="str">
        <f>IF(Table3[[#This Row],[Quantity Balance]]&lt;=Table3[[#This Row],[Reorder Level]],"Reorder!","OK")</f>
        <v>Reorder!</v>
      </c>
      <c r="L67" s="2">
        <f t="shared" ca="1" si="2"/>
        <v>46018</v>
      </c>
    </row>
    <row r="68" spans="6:12" x14ac:dyDescent="0.25">
      <c r="F68">
        <f>Table3[[#This Row],[Quantity In]]-Table3[[#This Row],[Quantity Out]]</f>
        <v>0</v>
      </c>
      <c r="H68">
        <f>Table3[[#This Row],[Quantity In]]*Table3[[#This Row],[Unit Price]]</f>
        <v>0</v>
      </c>
      <c r="K68" t="str">
        <f>IF(Table3[[#This Row],[Quantity Balance]]&lt;=Table3[[#This Row],[Reorder Level]],"Reorder!","OK")</f>
        <v>Reorder!</v>
      </c>
      <c r="L68" s="2">
        <f t="shared" ca="1" si="2"/>
        <v>46018</v>
      </c>
    </row>
    <row r="69" spans="6:12" x14ac:dyDescent="0.25">
      <c r="F69">
        <f>Table3[[#This Row],[Quantity In]]-Table3[[#This Row],[Quantity Out]]</f>
        <v>0</v>
      </c>
      <c r="H69">
        <f>Table3[[#This Row],[Quantity In]]*Table3[[#This Row],[Unit Price]]</f>
        <v>0</v>
      </c>
      <c r="K69" t="str">
        <f>IF(Table3[[#This Row],[Quantity Balance]]&lt;=Table3[[#This Row],[Reorder Level]],"Reorder!","OK")</f>
        <v>Reorder!</v>
      </c>
      <c r="L69" s="2">
        <f t="shared" ca="1" si="2"/>
        <v>46018</v>
      </c>
    </row>
    <row r="70" spans="6:12" x14ac:dyDescent="0.25">
      <c r="F70">
        <f>Table3[[#This Row],[Quantity In]]-Table3[[#This Row],[Quantity Out]]</f>
        <v>0</v>
      </c>
      <c r="H70">
        <f>Table3[[#This Row],[Quantity In]]*Table3[[#This Row],[Unit Price]]</f>
        <v>0</v>
      </c>
      <c r="K70" t="str">
        <f>IF(Table3[[#This Row],[Quantity Balance]]&lt;=Table3[[#This Row],[Reorder Level]],"Reorder!","OK")</f>
        <v>Reorder!</v>
      </c>
      <c r="L70" s="2">
        <f t="shared" ca="1" si="2"/>
        <v>46018</v>
      </c>
    </row>
    <row r="71" spans="6:12" x14ac:dyDescent="0.25">
      <c r="F71">
        <f>Table3[[#This Row],[Quantity In]]-Table3[[#This Row],[Quantity Out]]</f>
        <v>0</v>
      </c>
      <c r="H71">
        <f>Table3[[#This Row],[Quantity In]]*Table3[[#This Row],[Unit Price]]</f>
        <v>0</v>
      </c>
      <c r="K71" t="str">
        <f>IF(Table3[[#This Row],[Quantity Balance]]&lt;=Table3[[#This Row],[Reorder Level]],"Reorder!","OK")</f>
        <v>Reorder!</v>
      </c>
      <c r="L71" s="2">
        <f t="shared" ca="1" si="2"/>
        <v>46018</v>
      </c>
    </row>
    <row r="72" spans="6:12" x14ac:dyDescent="0.25">
      <c r="F72">
        <f>Table3[[#This Row],[Quantity In]]-Table3[[#This Row],[Quantity Out]]</f>
        <v>0</v>
      </c>
      <c r="H72">
        <f>Table3[[#This Row],[Quantity In]]*Table3[[#This Row],[Unit Price]]</f>
        <v>0</v>
      </c>
      <c r="K72" t="str">
        <f>IF(Table3[[#This Row],[Quantity Balance]]&lt;=Table3[[#This Row],[Reorder Level]],"Reorder!","OK")</f>
        <v>Reorder!</v>
      </c>
      <c r="L72" s="2">
        <f t="shared" ca="1" si="2"/>
        <v>46018</v>
      </c>
    </row>
    <row r="73" spans="6:12" x14ac:dyDescent="0.25">
      <c r="F73">
        <f>Table3[[#This Row],[Quantity In]]-Table3[[#This Row],[Quantity Out]]</f>
        <v>0</v>
      </c>
      <c r="H73">
        <f>Table3[[#This Row],[Quantity In]]*Table3[[#This Row],[Unit Price]]</f>
        <v>0</v>
      </c>
      <c r="K73" t="str">
        <f>IF(Table3[[#This Row],[Quantity Balance]]&lt;=Table3[[#This Row],[Reorder Level]],"Reorder!","OK")</f>
        <v>Reorder!</v>
      </c>
      <c r="L73" s="2">
        <f t="shared" ca="1" si="2"/>
        <v>46018</v>
      </c>
    </row>
    <row r="74" spans="6:12" x14ac:dyDescent="0.25">
      <c r="F74">
        <f>Table3[[#This Row],[Quantity In]]-Table3[[#This Row],[Quantity Out]]</f>
        <v>0</v>
      </c>
      <c r="H74">
        <f>Table3[[#This Row],[Quantity In]]*Table3[[#This Row],[Unit Price]]</f>
        <v>0</v>
      </c>
      <c r="K74" t="str">
        <f>IF(Table3[[#This Row],[Quantity Balance]]&lt;=Table3[[#This Row],[Reorder Level]],"Reorder!","OK")</f>
        <v>Reorder!</v>
      </c>
      <c r="L74" s="2">
        <f t="shared" ca="1" si="2"/>
        <v>46018</v>
      </c>
    </row>
    <row r="75" spans="6:12" x14ac:dyDescent="0.25">
      <c r="F75">
        <f>Table3[[#This Row],[Quantity In]]-Table3[[#This Row],[Quantity Out]]</f>
        <v>0</v>
      </c>
      <c r="H75">
        <f>Table3[[#This Row],[Quantity In]]*Table3[[#This Row],[Unit Price]]</f>
        <v>0</v>
      </c>
      <c r="K75" t="str">
        <f>IF(Table3[[#This Row],[Quantity Balance]]&lt;=Table3[[#This Row],[Reorder Level]],"Reorder!","OK")</f>
        <v>Reorder!</v>
      </c>
      <c r="L75" s="2">
        <f t="shared" ca="1" si="2"/>
        <v>46018</v>
      </c>
    </row>
    <row r="76" spans="6:12" x14ac:dyDescent="0.25">
      <c r="F76">
        <f>Table3[[#This Row],[Quantity In]]-Table3[[#This Row],[Quantity Out]]</f>
        <v>0</v>
      </c>
      <c r="H76">
        <f>Table3[[#This Row],[Quantity In]]*Table3[[#This Row],[Unit Price]]</f>
        <v>0</v>
      </c>
      <c r="K76" t="str">
        <f>IF(Table3[[#This Row],[Quantity Balance]]&lt;=Table3[[#This Row],[Reorder Level]],"Reorder!","OK")</f>
        <v>Reorder!</v>
      </c>
      <c r="L76" s="2">
        <f t="shared" ca="1" si="2"/>
        <v>46018</v>
      </c>
    </row>
    <row r="77" spans="6:12" x14ac:dyDescent="0.25">
      <c r="F77">
        <f>Table3[[#This Row],[Quantity In]]-Table3[[#This Row],[Quantity Out]]</f>
        <v>0</v>
      </c>
      <c r="H77">
        <f>Table3[[#This Row],[Quantity In]]*Table3[[#This Row],[Unit Price]]</f>
        <v>0</v>
      </c>
      <c r="K77" t="str">
        <f>IF(Table3[[#This Row],[Quantity Balance]]&lt;=Table3[[#This Row],[Reorder Level]],"Reorder!","OK")</f>
        <v>Reorder!</v>
      </c>
      <c r="L77" s="2">
        <f t="shared" ca="1" si="2"/>
        <v>46018</v>
      </c>
    </row>
    <row r="78" spans="6:12" x14ac:dyDescent="0.25">
      <c r="F78">
        <f>Table3[[#This Row],[Quantity In]]-Table3[[#This Row],[Quantity Out]]</f>
        <v>0</v>
      </c>
      <c r="H78">
        <f>Table3[[#This Row],[Quantity In]]*Table3[[#This Row],[Unit Price]]</f>
        <v>0</v>
      </c>
      <c r="K78" t="str">
        <f>IF(Table3[[#This Row],[Quantity Balance]]&lt;=Table3[[#This Row],[Reorder Level]],"Reorder!","OK")</f>
        <v>Reorder!</v>
      </c>
      <c r="L78" s="2">
        <f t="shared" ca="1" si="2"/>
        <v>46018</v>
      </c>
    </row>
    <row r="79" spans="6:12" x14ac:dyDescent="0.25">
      <c r="F79">
        <f>Table3[[#This Row],[Quantity In]]-Table3[[#This Row],[Quantity Out]]</f>
        <v>0</v>
      </c>
      <c r="H79">
        <f>Table3[[#This Row],[Quantity In]]*Table3[[#This Row],[Unit Price]]</f>
        <v>0</v>
      </c>
      <c r="K79" t="str">
        <f>IF(Table3[[#This Row],[Quantity Balance]]&lt;=Table3[[#This Row],[Reorder Level]],"Reorder!","OK")</f>
        <v>Reorder!</v>
      </c>
      <c r="L79" s="2">
        <f t="shared" ca="1" si="2"/>
        <v>46018</v>
      </c>
    </row>
    <row r="80" spans="6:12" x14ac:dyDescent="0.25">
      <c r="F80">
        <f>Table3[[#This Row],[Quantity In]]-Table3[[#This Row],[Quantity Out]]</f>
        <v>0</v>
      </c>
      <c r="H80">
        <f>Table3[[#This Row],[Quantity In]]*Table3[[#This Row],[Unit Price]]</f>
        <v>0</v>
      </c>
      <c r="K80" t="str">
        <f>IF(Table3[[#This Row],[Quantity Balance]]&lt;=Table3[[#This Row],[Reorder Level]],"Reorder!","OK")</f>
        <v>Reorder!</v>
      </c>
      <c r="L80" s="2">
        <f t="shared" ca="1" si="2"/>
        <v>46018</v>
      </c>
    </row>
    <row r="81" spans="6:12" x14ac:dyDescent="0.25">
      <c r="F81">
        <f>Table3[[#This Row],[Quantity In]]-Table3[[#This Row],[Quantity Out]]</f>
        <v>0</v>
      </c>
      <c r="H81">
        <f>Table3[[#This Row],[Quantity In]]*Table3[[#This Row],[Unit Price]]</f>
        <v>0</v>
      </c>
      <c r="K81" t="str">
        <f>IF(Table3[[#This Row],[Quantity Balance]]&lt;=Table3[[#This Row],[Reorder Level]],"Reorder!","OK")</f>
        <v>Reorder!</v>
      </c>
      <c r="L81" s="2">
        <f t="shared" ca="1" si="2"/>
        <v>46018</v>
      </c>
    </row>
    <row r="82" spans="6:12" x14ac:dyDescent="0.25">
      <c r="F82">
        <f>Table3[[#This Row],[Quantity In]]-Table3[[#This Row],[Quantity Out]]</f>
        <v>0</v>
      </c>
      <c r="H82">
        <f>Table3[[#This Row],[Quantity In]]*Table3[[#This Row],[Unit Price]]</f>
        <v>0</v>
      </c>
      <c r="K82" t="str">
        <f>IF(Table3[[#This Row],[Quantity Balance]]&lt;=Table3[[#This Row],[Reorder Level]],"Reorder!","OK")</f>
        <v>Reorder!</v>
      </c>
      <c r="L82" s="2">
        <f t="shared" ca="1" si="2"/>
        <v>46018</v>
      </c>
    </row>
    <row r="83" spans="6:12" x14ac:dyDescent="0.25">
      <c r="F83">
        <f>Table3[[#This Row],[Quantity In]]-Table3[[#This Row],[Quantity Out]]</f>
        <v>0</v>
      </c>
      <c r="H83">
        <f>Table3[[#This Row],[Quantity In]]*Table3[[#This Row],[Unit Price]]</f>
        <v>0</v>
      </c>
      <c r="K83" t="str">
        <f>IF(Table3[[#This Row],[Quantity Balance]]&lt;=Table3[[#This Row],[Reorder Level]],"Reorder!","OK")</f>
        <v>Reorder!</v>
      </c>
      <c r="L83" s="2">
        <f t="shared" ca="1" si="2"/>
        <v>46018</v>
      </c>
    </row>
    <row r="84" spans="6:12" x14ac:dyDescent="0.25">
      <c r="F84">
        <f>Table3[[#This Row],[Quantity In]]-Table3[[#This Row],[Quantity Out]]</f>
        <v>0</v>
      </c>
      <c r="H84">
        <f>Table3[[#This Row],[Quantity In]]*Table3[[#This Row],[Unit Price]]</f>
        <v>0</v>
      </c>
      <c r="K84" t="str">
        <f>IF(Table3[[#This Row],[Quantity Balance]]&lt;=Table3[[#This Row],[Reorder Level]],"Reorder!","OK")</f>
        <v>Reorder!</v>
      </c>
      <c r="L84" s="2">
        <f t="shared" ca="1" si="2"/>
        <v>46018</v>
      </c>
    </row>
    <row r="85" spans="6:12" x14ac:dyDescent="0.25">
      <c r="F85">
        <f>Table3[[#This Row],[Quantity In]]-Table3[[#This Row],[Quantity Out]]</f>
        <v>0</v>
      </c>
      <c r="H85">
        <f>Table3[[#This Row],[Quantity In]]*Table3[[#This Row],[Unit Price]]</f>
        <v>0</v>
      </c>
      <c r="K85" t="str">
        <f>IF(Table3[[#This Row],[Quantity Balance]]&lt;=Table3[[#This Row],[Reorder Level]],"Reorder!","OK")</f>
        <v>Reorder!</v>
      </c>
      <c r="L85" s="2">
        <f t="shared" ca="1" si="2"/>
        <v>46018</v>
      </c>
    </row>
    <row r="86" spans="6:12" x14ac:dyDescent="0.25">
      <c r="F86">
        <f>Table3[[#This Row],[Quantity In]]-Table3[[#This Row],[Quantity Out]]</f>
        <v>0</v>
      </c>
      <c r="H86">
        <f>Table3[[#This Row],[Quantity In]]*Table3[[#This Row],[Unit Price]]</f>
        <v>0</v>
      </c>
      <c r="K86" t="str">
        <f>IF(Table3[[#This Row],[Quantity Balance]]&lt;=Table3[[#This Row],[Reorder Level]],"Reorder!","OK")</f>
        <v>Reorder!</v>
      </c>
      <c r="L86" s="2">
        <f t="shared" ca="1" si="2"/>
        <v>46018</v>
      </c>
    </row>
    <row r="87" spans="6:12" x14ac:dyDescent="0.25">
      <c r="F87">
        <f>Table3[[#This Row],[Quantity In]]-Table3[[#This Row],[Quantity Out]]</f>
        <v>0</v>
      </c>
      <c r="H87">
        <f>Table3[[#This Row],[Quantity In]]*Table3[[#This Row],[Unit Price]]</f>
        <v>0</v>
      </c>
      <c r="K87" t="str">
        <f>IF(Table3[[#This Row],[Quantity Balance]]&lt;=Table3[[#This Row],[Reorder Level]],"Reorder!","OK")</f>
        <v>Reorder!</v>
      </c>
      <c r="L87" s="2">
        <f t="shared" ca="1" si="2"/>
        <v>46018</v>
      </c>
    </row>
    <row r="88" spans="6:12" x14ac:dyDescent="0.25">
      <c r="F88">
        <f>Table3[[#This Row],[Quantity In]]-Table3[[#This Row],[Quantity Out]]</f>
        <v>0</v>
      </c>
      <c r="H88">
        <f>Table3[[#This Row],[Quantity In]]*Table3[[#This Row],[Unit Price]]</f>
        <v>0</v>
      </c>
      <c r="K88" t="str">
        <f>IF(Table3[[#This Row],[Quantity Balance]]&lt;=Table3[[#This Row],[Reorder Level]],"Reorder!","OK")</f>
        <v>Reorder!</v>
      </c>
      <c r="L88" s="2">
        <f t="shared" ca="1" si="2"/>
        <v>46018</v>
      </c>
    </row>
    <row r="89" spans="6:12" x14ac:dyDescent="0.25">
      <c r="F89">
        <f>Table3[[#This Row],[Quantity In]]-Table3[[#This Row],[Quantity Out]]</f>
        <v>0</v>
      </c>
      <c r="H89">
        <f>Table3[[#This Row],[Quantity In]]*Table3[[#This Row],[Unit Price]]</f>
        <v>0</v>
      </c>
      <c r="K89" t="str">
        <f>IF(Table3[[#This Row],[Quantity Balance]]&lt;=Table3[[#This Row],[Reorder Level]],"Reorder!","OK")</f>
        <v>Reorder!</v>
      </c>
      <c r="L89" s="2">
        <f t="shared" ca="1" si="2"/>
        <v>46018</v>
      </c>
    </row>
    <row r="90" spans="6:12" x14ac:dyDescent="0.25">
      <c r="F90">
        <f>Table3[[#This Row],[Quantity In]]-Table3[[#This Row],[Quantity Out]]</f>
        <v>0</v>
      </c>
      <c r="H90">
        <f>Table3[[#This Row],[Quantity In]]*Table3[[#This Row],[Unit Price]]</f>
        <v>0</v>
      </c>
      <c r="K90" t="str">
        <f>IF(Table3[[#This Row],[Quantity Balance]]&lt;=Table3[[#This Row],[Reorder Level]],"Reorder!","OK")</f>
        <v>Reorder!</v>
      </c>
      <c r="L90" s="2">
        <f t="shared" ca="1" si="2"/>
        <v>46018</v>
      </c>
    </row>
    <row r="91" spans="6:12" x14ac:dyDescent="0.25">
      <c r="F91">
        <f>Table3[[#This Row],[Quantity In]]-Table3[[#This Row],[Quantity Out]]</f>
        <v>0</v>
      </c>
      <c r="H91">
        <f>Table3[[#This Row],[Quantity In]]*Table3[[#This Row],[Unit Price]]</f>
        <v>0</v>
      </c>
      <c r="K91" t="str">
        <f>IF(Table3[[#This Row],[Quantity Balance]]&lt;=Table3[[#This Row],[Reorder Level]],"Reorder!","OK")</f>
        <v>Reorder!</v>
      </c>
      <c r="L91" s="2">
        <f t="shared" ca="1" si="2"/>
        <v>46018</v>
      </c>
    </row>
    <row r="92" spans="6:12" x14ac:dyDescent="0.25">
      <c r="F92">
        <f>Table3[[#This Row],[Quantity In]]-Table3[[#This Row],[Quantity Out]]</f>
        <v>0</v>
      </c>
      <c r="H92">
        <f>Table3[[#This Row],[Quantity In]]*Table3[[#This Row],[Unit Price]]</f>
        <v>0</v>
      </c>
      <c r="K92" t="str">
        <f>IF(Table3[[#This Row],[Quantity Balance]]&lt;=Table3[[#This Row],[Reorder Level]],"Reorder!","OK")</f>
        <v>Reorder!</v>
      </c>
      <c r="L92" s="2">
        <f t="shared" ca="1" si="2"/>
        <v>46018</v>
      </c>
    </row>
    <row r="93" spans="6:12" x14ac:dyDescent="0.25">
      <c r="F93">
        <f>Table3[[#This Row],[Quantity In]]-Table3[[#This Row],[Quantity Out]]</f>
        <v>0</v>
      </c>
      <c r="H93">
        <f>Table3[[#This Row],[Quantity In]]*Table3[[#This Row],[Unit Price]]</f>
        <v>0</v>
      </c>
      <c r="K93" t="str">
        <f>IF(Table3[[#This Row],[Quantity Balance]]&lt;=Table3[[#This Row],[Reorder Level]],"Reorder!","OK")</f>
        <v>Reorder!</v>
      </c>
      <c r="L93" s="2">
        <f t="shared" ca="1" si="2"/>
        <v>46018</v>
      </c>
    </row>
    <row r="94" spans="6:12" x14ac:dyDescent="0.25">
      <c r="F94">
        <f>Table3[[#This Row],[Quantity In]]-Table3[[#This Row],[Quantity Out]]</f>
        <v>0</v>
      </c>
      <c r="H94">
        <f>Table3[[#This Row],[Quantity In]]*Table3[[#This Row],[Unit Price]]</f>
        <v>0</v>
      </c>
      <c r="K94" t="str">
        <f>IF(Table3[[#This Row],[Quantity Balance]]&lt;=Table3[[#This Row],[Reorder Level]],"Reorder!","OK")</f>
        <v>Reorder!</v>
      </c>
      <c r="L94" s="2">
        <f t="shared" ca="1" si="2"/>
        <v>46018</v>
      </c>
    </row>
    <row r="95" spans="6:12" x14ac:dyDescent="0.25">
      <c r="F95">
        <f>Table3[[#This Row],[Quantity In]]-Table3[[#This Row],[Quantity Out]]</f>
        <v>0</v>
      </c>
      <c r="H95">
        <f>Table3[[#This Row],[Quantity In]]*Table3[[#This Row],[Unit Price]]</f>
        <v>0</v>
      </c>
      <c r="K95" t="str">
        <f>IF(Table3[[#This Row],[Quantity Balance]]&lt;=Table3[[#This Row],[Reorder Level]],"Reorder!","OK")</f>
        <v>Reorder!</v>
      </c>
      <c r="L95" s="2">
        <f t="shared" ca="1" si="2"/>
        <v>46018</v>
      </c>
    </row>
    <row r="96" spans="6:12" x14ac:dyDescent="0.25">
      <c r="F96">
        <f>Table3[[#This Row],[Quantity In]]-Table3[[#This Row],[Quantity Out]]</f>
        <v>0</v>
      </c>
      <c r="H96">
        <f>Table3[[#This Row],[Quantity In]]*Table3[[#This Row],[Unit Price]]</f>
        <v>0</v>
      </c>
      <c r="K96" t="str">
        <f>IF(Table3[[#This Row],[Quantity Balance]]&lt;=Table3[[#This Row],[Reorder Level]],"Reorder!","OK")</f>
        <v>Reorder!</v>
      </c>
      <c r="L96" s="2">
        <f t="shared" ca="1" si="2"/>
        <v>46018</v>
      </c>
    </row>
    <row r="97" spans="6:12" x14ac:dyDescent="0.25">
      <c r="F97">
        <f>Table3[[#This Row],[Quantity In]]-Table3[[#This Row],[Quantity Out]]</f>
        <v>0</v>
      </c>
      <c r="H97">
        <f>Table3[[#This Row],[Quantity In]]*Table3[[#This Row],[Unit Price]]</f>
        <v>0</v>
      </c>
      <c r="K97" t="str">
        <f>IF(Table3[[#This Row],[Quantity Balance]]&lt;=Table3[[#This Row],[Reorder Level]],"Reorder!","OK")</f>
        <v>Reorder!</v>
      </c>
      <c r="L97" s="2">
        <f t="shared" ca="1" si="2"/>
        <v>46018</v>
      </c>
    </row>
    <row r="98" spans="6:12" x14ac:dyDescent="0.25">
      <c r="F98">
        <f>Table3[[#This Row],[Quantity In]]-Table3[[#This Row],[Quantity Out]]</f>
        <v>0</v>
      </c>
      <c r="H98">
        <f>Table3[[#This Row],[Quantity In]]*Table3[[#This Row],[Unit Price]]</f>
        <v>0</v>
      </c>
      <c r="K98" t="str">
        <f>IF(Table3[[#This Row],[Quantity Balance]]&lt;=Table3[[#This Row],[Reorder Level]],"Reorder!","OK")</f>
        <v>Reorder!</v>
      </c>
      <c r="L98" s="2">
        <f t="shared" ca="1" si="2"/>
        <v>46018</v>
      </c>
    </row>
    <row r="99" spans="6:12" x14ac:dyDescent="0.25">
      <c r="F99">
        <f>Table3[[#This Row],[Quantity In]]-Table3[[#This Row],[Quantity Out]]</f>
        <v>0</v>
      </c>
      <c r="H99">
        <f>Table3[[#This Row],[Quantity In]]*Table3[[#This Row],[Unit Price]]</f>
        <v>0</v>
      </c>
      <c r="K99" t="str">
        <f>IF(Table3[[#This Row],[Quantity Balance]]&lt;=Table3[[#This Row],[Reorder Level]],"Reorder!","OK")</f>
        <v>Reorder!</v>
      </c>
      <c r="L99" s="2">
        <f t="shared" ca="1" si="2"/>
        <v>46018</v>
      </c>
    </row>
    <row r="100" spans="6:12" x14ac:dyDescent="0.25">
      <c r="F100">
        <f>Table3[[#This Row],[Quantity In]]-Table3[[#This Row],[Quantity Out]]</f>
        <v>0</v>
      </c>
      <c r="H100">
        <f>Table3[[#This Row],[Quantity In]]*Table3[[#This Row],[Unit Price]]</f>
        <v>0</v>
      </c>
      <c r="K100" t="str">
        <f>IF(Table3[[#This Row],[Quantity Balance]]&lt;=Table3[[#This Row],[Reorder Level]],"Reorder!","OK")</f>
        <v>Reorder!</v>
      </c>
      <c r="L100" s="2">
        <f t="shared" ca="1" si="2"/>
        <v>46018</v>
      </c>
    </row>
    <row r="101" spans="6:12" x14ac:dyDescent="0.25">
      <c r="F101">
        <f>Table3[[#This Row],[Quantity In]]-Table3[[#This Row],[Quantity Out]]</f>
        <v>0</v>
      </c>
      <c r="H101">
        <f>Table3[[#This Row],[Quantity In]]*Table3[[#This Row],[Unit Price]]</f>
        <v>0</v>
      </c>
      <c r="K101" t="str">
        <f>IF(Table3[[#This Row],[Quantity Balance]]&lt;=Table3[[#This Row],[Reorder Level]],"Reorder!","OK")</f>
        <v>Reorder!</v>
      </c>
      <c r="L101" s="2">
        <f t="shared" ca="1" si="2"/>
        <v>46018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A828-E3CD-415E-8290-A762B55255D5}">
  <dimension ref="A1:Q12"/>
  <sheetViews>
    <sheetView tabSelected="1" zoomScale="80" zoomScaleNormal="80" workbookViewId="0">
      <selection activeCell="F8" sqref="F8"/>
    </sheetView>
  </sheetViews>
  <sheetFormatPr defaultRowHeight="15.75" x14ac:dyDescent="0.25"/>
  <cols>
    <col min="1" max="1" width="9.140625" style="10"/>
    <col min="2" max="2" width="18.85546875" style="17" customWidth="1"/>
    <col min="3" max="3" width="19.140625" style="16" customWidth="1"/>
    <col min="4" max="4" width="24" style="15" customWidth="1"/>
    <col min="5" max="5" width="19.5703125" style="14" customWidth="1"/>
    <col min="6" max="6" width="27" style="13" customWidth="1"/>
    <col min="7" max="7" width="17.140625" style="12" customWidth="1"/>
    <col min="8" max="8" width="38.140625" style="11" customWidth="1"/>
    <col min="9" max="9" width="20" style="10" customWidth="1"/>
    <col min="10" max="10" width="26" style="9" customWidth="1"/>
    <col min="11" max="11" width="25.28515625" style="8" customWidth="1"/>
    <col min="12" max="12" width="25" style="7" customWidth="1"/>
    <col min="13" max="13" width="9.140625" style="6"/>
  </cols>
  <sheetData>
    <row r="1" spans="1:17" s="5" customFormat="1" ht="26.25" x14ac:dyDescent="0.3">
      <c r="A1" s="93" t="s">
        <v>143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17" s="4" customFormat="1" x14ac:dyDescent="0.25">
      <c r="A2" s="22" t="s">
        <v>142</v>
      </c>
      <c r="B2" s="29" t="s">
        <v>141</v>
      </c>
      <c r="C2" s="28" t="s">
        <v>140</v>
      </c>
      <c r="D2" s="27" t="s">
        <v>139</v>
      </c>
      <c r="E2" s="26" t="s">
        <v>138</v>
      </c>
      <c r="F2" s="25" t="s">
        <v>137</v>
      </c>
      <c r="G2" s="24" t="s">
        <v>136</v>
      </c>
      <c r="H2" s="23" t="s">
        <v>135</v>
      </c>
      <c r="I2" s="22" t="s">
        <v>134</v>
      </c>
      <c r="J2" s="21" t="s">
        <v>133</v>
      </c>
      <c r="K2" s="20" t="s">
        <v>132</v>
      </c>
      <c r="L2" s="19" t="s">
        <v>131</v>
      </c>
      <c r="M2" s="18"/>
    </row>
    <row r="3" spans="1:17" x14ac:dyDescent="0.25">
      <c r="A3" s="10">
        <v>2</v>
      </c>
    </row>
    <row r="4" spans="1:17" x14ac:dyDescent="0.25">
      <c r="A4" s="10">
        <v>3</v>
      </c>
    </row>
    <row r="5" spans="1:17" x14ac:dyDescent="0.25">
      <c r="A5" s="10">
        <v>4</v>
      </c>
      <c r="H5" s="11" t="s">
        <v>130</v>
      </c>
      <c r="J5" s="9" t="s">
        <v>129</v>
      </c>
    </row>
    <row r="6" spans="1:17" x14ac:dyDescent="0.25">
      <c r="A6" s="10">
        <v>5</v>
      </c>
      <c r="H6" s="11" t="s">
        <v>128</v>
      </c>
      <c r="J6" s="9" t="s">
        <v>127</v>
      </c>
      <c r="K6" s="8" t="s">
        <v>126</v>
      </c>
      <c r="L6" s="7" t="s">
        <v>125</v>
      </c>
    </row>
    <row r="7" spans="1:17" x14ac:dyDescent="0.25">
      <c r="A7" s="10">
        <v>6</v>
      </c>
      <c r="H7" s="11" t="s">
        <v>124</v>
      </c>
      <c r="J7" s="9" t="s">
        <v>123</v>
      </c>
      <c r="K7" s="8" t="s">
        <v>122</v>
      </c>
      <c r="L7" s="7" t="s">
        <v>121</v>
      </c>
    </row>
    <row r="8" spans="1:17" x14ac:dyDescent="0.25">
      <c r="A8" s="10">
        <v>7</v>
      </c>
      <c r="H8" s="11" t="s">
        <v>120</v>
      </c>
      <c r="J8" s="9" t="s">
        <v>119</v>
      </c>
      <c r="K8" s="8" t="s">
        <v>118</v>
      </c>
      <c r="L8" s="7" t="s">
        <v>117</v>
      </c>
    </row>
    <row r="9" spans="1:17" x14ac:dyDescent="0.25">
      <c r="A9" s="10">
        <v>8</v>
      </c>
      <c r="F9" s="13" t="s">
        <v>116</v>
      </c>
      <c r="H9" s="11" t="s">
        <v>115</v>
      </c>
      <c r="J9" s="9" t="s">
        <v>114</v>
      </c>
      <c r="K9" s="8" t="s">
        <v>113</v>
      </c>
      <c r="L9" s="7" t="s">
        <v>112</v>
      </c>
    </row>
    <row r="10" spans="1:17" x14ac:dyDescent="0.25">
      <c r="A10" s="10">
        <v>9</v>
      </c>
      <c r="F10" s="13" t="s">
        <v>111</v>
      </c>
      <c r="H10" s="11" t="s">
        <v>110</v>
      </c>
      <c r="J10" s="9" t="s">
        <v>109</v>
      </c>
    </row>
    <row r="11" spans="1:17" x14ac:dyDescent="0.25">
      <c r="A11" s="10">
        <v>10</v>
      </c>
      <c r="F11" s="13" t="s">
        <v>108</v>
      </c>
      <c r="H11" s="11" t="s">
        <v>107</v>
      </c>
      <c r="J11" s="9" t="s">
        <v>106</v>
      </c>
    </row>
    <row r="12" spans="1:17" x14ac:dyDescent="0.25">
      <c r="J12" s="9" t="s">
        <v>105</v>
      </c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2F37-EDEC-459D-B36F-A5743A078894}">
  <sheetPr>
    <pageSetUpPr fitToPage="1"/>
  </sheetPr>
  <dimension ref="A1:AH29"/>
  <sheetViews>
    <sheetView zoomScale="74" zoomScaleNormal="130" workbookViewId="0">
      <selection activeCell="A24" sqref="A24"/>
    </sheetView>
  </sheetViews>
  <sheetFormatPr defaultRowHeight="15" x14ac:dyDescent="0.25"/>
  <cols>
    <col min="1" max="1" width="14.28515625" customWidth="1"/>
    <col min="2" max="2" width="12.140625" bestFit="1" customWidth="1"/>
    <col min="3" max="3" width="14.140625" bestFit="1" customWidth="1"/>
    <col min="4" max="4" width="10.5703125" bestFit="1" customWidth="1"/>
    <col min="5" max="5" width="12.42578125" bestFit="1" customWidth="1"/>
  </cols>
  <sheetData>
    <row r="1" spans="1:34" ht="62.25" thickBot="1" x14ac:dyDescent="0.3">
      <c r="A1" s="94" t="s">
        <v>188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6"/>
      <c r="O1" s="75"/>
      <c r="P1" s="75"/>
    </row>
    <row r="2" spans="1:34" s="50" customFormat="1" ht="15.75" thickBot="1" x14ac:dyDescent="0.3">
      <c r="A2" s="74" t="s">
        <v>187</v>
      </c>
      <c r="B2" s="73" t="s">
        <v>186</v>
      </c>
      <c r="C2" s="52">
        <v>0.33333333333333331</v>
      </c>
      <c r="D2" s="52">
        <v>0.34722222222222227</v>
      </c>
      <c r="E2" s="52">
        <v>0.375</v>
      </c>
      <c r="F2" s="52">
        <v>0.40277777777777773</v>
      </c>
      <c r="G2" s="52">
        <v>0.43055555555555558</v>
      </c>
      <c r="H2" s="52">
        <v>0.45833333333333331</v>
      </c>
      <c r="I2" s="52">
        <v>0.47916666666666669</v>
      </c>
      <c r="J2" s="52">
        <v>0.50694444444444442</v>
      </c>
      <c r="K2" s="52">
        <v>0.53472222222222221</v>
      </c>
      <c r="L2" s="52">
        <v>6.25E-2</v>
      </c>
      <c r="M2" s="52">
        <v>9.0277777777777776E-2</v>
      </c>
      <c r="N2" s="51">
        <v>0.125</v>
      </c>
      <c r="O2" s="30"/>
      <c r="P2" s="30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</row>
    <row r="3" spans="1:34" x14ac:dyDescent="0.25">
      <c r="A3" s="105" t="s">
        <v>185</v>
      </c>
      <c r="B3" s="58" t="s">
        <v>10</v>
      </c>
      <c r="C3" s="113" t="s">
        <v>184</v>
      </c>
      <c r="D3" s="47" t="s">
        <v>93</v>
      </c>
      <c r="E3" s="44" t="s">
        <v>98</v>
      </c>
      <c r="F3" s="45" t="s">
        <v>170</v>
      </c>
      <c r="G3" s="45" t="s">
        <v>102</v>
      </c>
      <c r="H3" s="115" t="s">
        <v>173</v>
      </c>
      <c r="I3" s="47" t="s">
        <v>171</v>
      </c>
      <c r="J3" s="44" t="s">
        <v>99</v>
      </c>
      <c r="K3" s="72" t="s">
        <v>180</v>
      </c>
      <c r="L3" s="108" t="s">
        <v>183</v>
      </c>
      <c r="M3" s="117" t="s">
        <v>182</v>
      </c>
      <c r="N3" s="97" t="s">
        <v>172</v>
      </c>
      <c r="O3" s="30"/>
      <c r="P3" s="30"/>
    </row>
    <row r="4" spans="1:34" x14ac:dyDescent="0.25">
      <c r="A4" s="105"/>
      <c r="B4" s="49" t="s">
        <v>104</v>
      </c>
      <c r="C4" s="113"/>
      <c r="D4" s="44" t="s">
        <v>181</v>
      </c>
      <c r="E4" s="47" t="s">
        <v>93</v>
      </c>
      <c r="F4" s="45" t="s">
        <v>102</v>
      </c>
      <c r="G4" s="45" t="s">
        <v>170</v>
      </c>
      <c r="H4" s="115"/>
      <c r="I4" s="44" t="s">
        <v>99</v>
      </c>
      <c r="J4" s="45" t="s">
        <v>102</v>
      </c>
      <c r="K4" s="47" t="s">
        <v>171</v>
      </c>
      <c r="L4" s="109"/>
      <c r="M4" s="117"/>
      <c r="N4" s="97"/>
      <c r="O4" s="30"/>
      <c r="P4" s="30"/>
    </row>
    <row r="5" spans="1:34" ht="15.75" thickBot="1" x14ac:dyDescent="0.3">
      <c r="A5" s="106"/>
      <c r="B5" s="43" t="s">
        <v>103</v>
      </c>
      <c r="C5" s="113"/>
      <c r="D5" s="39" t="s">
        <v>97</v>
      </c>
      <c r="E5" s="40" t="s">
        <v>102</v>
      </c>
      <c r="F5" s="42" t="s">
        <v>93</v>
      </c>
      <c r="G5" s="39" t="s">
        <v>98</v>
      </c>
      <c r="H5" s="115"/>
      <c r="I5" s="71" t="s">
        <v>180</v>
      </c>
      <c r="J5" s="42" t="s">
        <v>171</v>
      </c>
      <c r="K5" s="40" t="s">
        <v>102</v>
      </c>
      <c r="L5" s="110"/>
      <c r="M5" s="117"/>
      <c r="N5" s="97"/>
      <c r="O5" s="30"/>
      <c r="P5" s="30"/>
    </row>
    <row r="6" spans="1:34" x14ac:dyDescent="0.25">
      <c r="A6" s="107" t="s">
        <v>179</v>
      </c>
      <c r="B6" s="58" t="s">
        <v>10</v>
      </c>
      <c r="C6" s="113"/>
      <c r="D6" s="70" t="s">
        <v>95</v>
      </c>
      <c r="E6" s="69" t="s">
        <v>100</v>
      </c>
      <c r="F6" s="57" t="s">
        <v>91</v>
      </c>
      <c r="G6" s="68" t="s">
        <v>94</v>
      </c>
      <c r="H6" s="115"/>
      <c r="I6" s="67" t="s">
        <v>170</v>
      </c>
      <c r="J6" s="66" t="s">
        <v>99</v>
      </c>
      <c r="K6" s="65" t="s">
        <v>102</v>
      </c>
      <c r="L6" s="64" t="s">
        <v>168</v>
      </c>
      <c r="M6" s="117"/>
      <c r="N6" s="97"/>
      <c r="O6" s="30"/>
      <c r="P6" s="30"/>
    </row>
    <row r="7" spans="1:34" x14ac:dyDescent="0.25">
      <c r="A7" s="105"/>
      <c r="B7" s="49" t="s">
        <v>104</v>
      </c>
      <c r="C7" s="113"/>
      <c r="D7" s="45" t="s">
        <v>91</v>
      </c>
      <c r="E7" s="46" t="s">
        <v>95</v>
      </c>
      <c r="F7" s="48" t="s">
        <v>94</v>
      </c>
      <c r="G7" s="44" t="s">
        <v>100</v>
      </c>
      <c r="H7" s="115"/>
      <c r="I7" s="63" t="s">
        <v>98</v>
      </c>
      <c r="J7" s="45" t="s">
        <v>170</v>
      </c>
      <c r="K7" s="48" t="s">
        <v>168</v>
      </c>
      <c r="L7" s="62" t="s">
        <v>101</v>
      </c>
      <c r="M7" s="117"/>
      <c r="N7" s="97"/>
      <c r="O7" s="30"/>
      <c r="P7" s="30"/>
    </row>
    <row r="8" spans="1:34" ht="15.75" thickBot="1" x14ac:dyDescent="0.3">
      <c r="A8" s="106"/>
      <c r="B8" s="43" t="s">
        <v>103</v>
      </c>
      <c r="C8" s="113"/>
      <c r="D8" s="39" t="s">
        <v>100</v>
      </c>
      <c r="E8" s="41" t="s">
        <v>94</v>
      </c>
      <c r="F8" s="38" t="s">
        <v>95</v>
      </c>
      <c r="G8" s="40" t="s">
        <v>91</v>
      </c>
      <c r="H8" s="115"/>
      <c r="I8" s="61" t="s">
        <v>99</v>
      </c>
      <c r="J8" s="41" t="s">
        <v>168</v>
      </c>
      <c r="K8" s="40" t="s">
        <v>170</v>
      </c>
      <c r="L8" s="60" t="s">
        <v>98</v>
      </c>
      <c r="M8" s="117"/>
      <c r="N8" s="97"/>
      <c r="O8" s="30"/>
    </row>
    <row r="9" spans="1:34" x14ac:dyDescent="0.25">
      <c r="A9" s="107" t="s">
        <v>178</v>
      </c>
      <c r="B9" s="58" t="s">
        <v>10</v>
      </c>
      <c r="C9" s="113"/>
      <c r="D9" s="120" t="s">
        <v>177</v>
      </c>
      <c r="E9" s="44" t="s">
        <v>169</v>
      </c>
      <c r="F9" s="57" t="s">
        <v>170</v>
      </c>
      <c r="G9" s="47" t="s">
        <v>93</v>
      </c>
      <c r="H9" s="115"/>
      <c r="I9" s="47" t="s">
        <v>96</v>
      </c>
      <c r="J9" s="59" t="s">
        <v>98</v>
      </c>
      <c r="K9" s="44" t="s">
        <v>97</v>
      </c>
      <c r="L9" s="45" t="s">
        <v>170</v>
      </c>
      <c r="M9" s="117"/>
      <c r="N9" s="97"/>
      <c r="O9" s="30"/>
    </row>
    <row r="10" spans="1:34" ht="15.75" thickBot="1" x14ac:dyDescent="0.3">
      <c r="A10" s="105"/>
      <c r="B10" s="49" t="s">
        <v>104</v>
      </c>
      <c r="C10" s="113"/>
      <c r="D10" s="121"/>
      <c r="E10" s="45" t="s">
        <v>170</v>
      </c>
      <c r="F10" s="47" t="s">
        <v>93</v>
      </c>
      <c r="G10" s="59" t="s">
        <v>98</v>
      </c>
      <c r="H10" s="115"/>
      <c r="I10" s="39" t="s">
        <v>97</v>
      </c>
      <c r="J10" s="47" t="s">
        <v>96</v>
      </c>
      <c r="K10" s="45" t="s">
        <v>170</v>
      </c>
      <c r="L10" s="46" t="s">
        <v>88</v>
      </c>
      <c r="M10" s="117"/>
      <c r="N10" s="97"/>
      <c r="O10" s="30"/>
    </row>
    <row r="11" spans="1:34" ht="15.75" thickBot="1" x14ac:dyDescent="0.3">
      <c r="A11" s="106"/>
      <c r="B11" s="43" t="s">
        <v>103</v>
      </c>
      <c r="C11" s="113"/>
      <c r="D11" s="122"/>
      <c r="E11" s="42" t="s">
        <v>93</v>
      </c>
      <c r="F11" s="39" t="s">
        <v>169</v>
      </c>
      <c r="G11" s="40" t="s">
        <v>170</v>
      </c>
      <c r="H11" s="115"/>
      <c r="I11" s="38" t="s">
        <v>95</v>
      </c>
      <c r="J11" s="40" t="s">
        <v>170</v>
      </c>
      <c r="K11" s="42" t="s">
        <v>96</v>
      </c>
      <c r="L11" s="42" t="s">
        <v>171</v>
      </c>
      <c r="M11" s="117"/>
      <c r="N11" s="97"/>
      <c r="O11" s="30"/>
    </row>
    <row r="12" spans="1:34" x14ac:dyDescent="0.25">
      <c r="A12" s="107" t="s">
        <v>176</v>
      </c>
      <c r="B12" s="58" t="s">
        <v>10</v>
      </c>
      <c r="C12" s="113"/>
      <c r="D12" s="45" t="s">
        <v>91</v>
      </c>
      <c r="E12" s="57" t="s">
        <v>170</v>
      </c>
      <c r="F12" s="47" t="s">
        <v>171</v>
      </c>
      <c r="G12" s="44" t="s">
        <v>169</v>
      </c>
      <c r="H12" s="115"/>
      <c r="I12" s="44" t="s">
        <v>100</v>
      </c>
      <c r="J12" s="47" t="s">
        <v>96</v>
      </c>
      <c r="K12" s="44" t="s">
        <v>97</v>
      </c>
      <c r="L12" s="48" t="s">
        <v>94</v>
      </c>
      <c r="M12" s="117"/>
      <c r="N12" s="97"/>
      <c r="O12" s="30"/>
    </row>
    <row r="13" spans="1:34" x14ac:dyDescent="0.25">
      <c r="A13" s="105"/>
      <c r="B13" s="49" t="s">
        <v>104</v>
      </c>
      <c r="C13" s="113"/>
      <c r="D13" s="44" t="s">
        <v>169</v>
      </c>
      <c r="E13" s="45" t="s">
        <v>91</v>
      </c>
      <c r="F13" s="45" t="s">
        <v>170</v>
      </c>
      <c r="G13" s="47" t="s">
        <v>93</v>
      </c>
      <c r="H13" s="115"/>
      <c r="I13" s="44" t="s">
        <v>99</v>
      </c>
      <c r="J13" s="48" t="s">
        <v>94</v>
      </c>
      <c r="K13" s="47" t="s">
        <v>96</v>
      </c>
      <c r="L13" s="44" t="s">
        <v>100</v>
      </c>
      <c r="M13" s="117"/>
      <c r="N13" s="97"/>
      <c r="O13" s="30"/>
    </row>
    <row r="14" spans="1:34" ht="15.75" thickBot="1" x14ac:dyDescent="0.3">
      <c r="A14" s="106"/>
      <c r="B14" s="43" t="s">
        <v>103</v>
      </c>
      <c r="C14" s="113"/>
      <c r="D14" s="56" t="s">
        <v>170</v>
      </c>
      <c r="E14" s="39" t="s">
        <v>169</v>
      </c>
      <c r="F14" s="40" t="s">
        <v>91</v>
      </c>
      <c r="G14" s="55" t="s">
        <v>100</v>
      </c>
      <c r="H14" s="116"/>
      <c r="I14" s="42" t="s">
        <v>96</v>
      </c>
      <c r="J14" s="40" t="s">
        <v>170</v>
      </c>
      <c r="K14" s="41" t="s">
        <v>94</v>
      </c>
      <c r="L14" s="40" t="s">
        <v>101</v>
      </c>
      <c r="M14" s="118"/>
      <c r="N14" s="98"/>
      <c r="O14" s="30"/>
    </row>
    <row r="15" spans="1:34" s="50" customFormat="1" ht="15.75" thickBot="1" x14ac:dyDescent="0.3">
      <c r="A15" s="107" t="s">
        <v>175</v>
      </c>
      <c r="B15" s="54" t="s">
        <v>174</v>
      </c>
      <c r="C15" s="113"/>
      <c r="D15" s="53">
        <v>0.34722222222222227</v>
      </c>
      <c r="E15" s="52">
        <v>0.36805555555555558</v>
      </c>
      <c r="F15" s="52">
        <v>0.3888888888888889</v>
      </c>
      <c r="G15" s="52">
        <v>0.40972222222222227</v>
      </c>
      <c r="H15" s="52">
        <v>0.43055555555555558</v>
      </c>
      <c r="I15" s="52">
        <v>0.4513888888888889</v>
      </c>
      <c r="J15" s="52">
        <v>0.47222222222222227</v>
      </c>
      <c r="K15" s="52">
        <v>0.49305555555555558</v>
      </c>
      <c r="L15" s="52">
        <v>0.51388888888888895</v>
      </c>
      <c r="M15" s="52">
        <v>0.53472222222222221</v>
      </c>
      <c r="N15" s="51">
        <v>4.1666666666666664E-2</v>
      </c>
      <c r="O15" s="30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34" x14ac:dyDescent="0.25">
      <c r="A16" s="105"/>
      <c r="B16" s="49" t="s">
        <v>10</v>
      </c>
      <c r="C16" s="113"/>
      <c r="D16" s="46" t="s">
        <v>88</v>
      </c>
      <c r="E16" s="44" t="s">
        <v>97</v>
      </c>
      <c r="F16" s="47" t="s">
        <v>93</v>
      </c>
      <c r="G16" s="48" t="s">
        <v>168</v>
      </c>
      <c r="H16" s="45" t="s">
        <v>101</v>
      </c>
      <c r="I16" s="103" t="s">
        <v>173</v>
      </c>
      <c r="J16" s="45" t="s">
        <v>170</v>
      </c>
      <c r="K16" s="46" t="s">
        <v>95</v>
      </c>
      <c r="L16" s="44" t="s">
        <v>98</v>
      </c>
      <c r="M16" s="101" t="s">
        <v>113</v>
      </c>
      <c r="N16" s="99" t="s">
        <v>172</v>
      </c>
      <c r="O16" s="30"/>
    </row>
    <row r="17" spans="1:17" x14ac:dyDescent="0.25">
      <c r="A17" s="105"/>
      <c r="B17" s="49" t="s">
        <v>104</v>
      </c>
      <c r="C17" s="113"/>
      <c r="D17" s="45" t="s">
        <v>101</v>
      </c>
      <c r="E17" s="46" t="s">
        <v>88</v>
      </c>
      <c r="F17" s="48" t="s">
        <v>168</v>
      </c>
      <c r="G17" s="47" t="s">
        <v>93</v>
      </c>
      <c r="H17" s="47" t="s">
        <v>171</v>
      </c>
      <c r="I17" s="103"/>
      <c r="J17" s="46" t="s">
        <v>95</v>
      </c>
      <c r="K17" s="45" t="s">
        <v>170</v>
      </c>
      <c r="L17" s="44" t="s">
        <v>169</v>
      </c>
      <c r="M17" s="101"/>
      <c r="N17" s="99"/>
      <c r="O17" s="30"/>
    </row>
    <row r="18" spans="1:17" ht="15.75" thickBot="1" x14ac:dyDescent="0.3">
      <c r="A18" s="106"/>
      <c r="B18" s="43" t="s">
        <v>103</v>
      </c>
      <c r="C18" s="114"/>
      <c r="D18" s="42" t="s">
        <v>93</v>
      </c>
      <c r="E18" s="41" t="s">
        <v>168</v>
      </c>
      <c r="F18" s="39" t="s">
        <v>99</v>
      </c>
      <c r="G18" s="40" t="s">
        <v>101</v>
      </c>
      <c r="H18" s="38" t="s">
        <v>95</v>
      </c>
      <c r="I18" s="104"/>
      <c r="J18" s="39" t="s">
        <v>98</v>
      </c>
      <c r="K18" s="39" t="s">
        <v>97</v>
      </c>
      <c r="L18" s="38" t="s">
        <v>88</v>
      </c>
      <c r="M18" s="102"/>
      <c r="N18" s="100"/>
      <c r="O18" s="30"/>
    </row>
    <row r="23" spans="1:17" ht="28.5" x14ac:dyDescent="0.45">
      <c r="A23" s="111" t="s">
        <v>189</v>
      </c>
      <c r="B23" s="112"/>
      <c r="C23" s="112"/>
      <c r="D23" s="112"/>
      <c r="E23" s="112"/>
      <c r="F23" s="31"/>
      <c r="G23" s="31"/>
    </row>
    <row r="24" spans="1:17" s="3" customFormat="1" x14ac:dyDescent="0.25">
      <c r="A24" s="33" t="s">
        <v>167</v>
      </c>
      <c r="B24" s="36" t="s">
        <v>166</v>
      </c>
      <c r="C24" s="37" t="s">
        <v>165</v>
      </c>
      <c r="D24" s="36" t="s">
        <v>164</v>
      </c>
      <c r="E24" s="36" t="s">
        <v>163</v>
      </c>
      <c r="F24" s="36" t="s">
        <v>162</v>
      </c>
      <c r="G24" s="36" t="s">
        <v>161</v>
      </c>
      <c r="Q24"/>
    </row>
    <row r="25" spans="1:17" x14ac:dyDescent="0.25">
      <c r="A25" s="33" t="s">
        <v>160</v>
      </c>
      <c r="B25" s="34" t="s">
        <v>159</v>
      </c>
      <c r="C25" s="35" t="s">
        <v>158</v>
      </c>
      <c r="D25" s="31" t="s">
        <v>157</v>
      </c>
      <c r="E25" s="119" t="s">
        <v>156</v>
      </c>
      <c r="F25" s="31"/>
      <c r="G25" s="31"/>
    </row>
    <row r="26" spans="1:17" x14ac:dyDescent="0.25">
      <c r="A26" s="33" t="s">
        <v>155</v>
      </c>
      <c r="B26" s="31"/>
      <c r="C26" s="31"/>
      <c r="D26" s="31"/>
      <c r="E26" s="119"/>
      <c r="F26" s="31"/>
      <c r="G26" s="31"/>
    </row>
    <row r="27" spans="1:17" x14ac:dyDescent="0.25">
      <c r="A27" s="33" t="s">
        <v>154</v>
      </c>
      <c r="B27" s="31" t="s">
        <v>153</v>
      </c>
      <c r="C27" s="32" t="s">
        <v>152</v>
      </c>
      <c r="D27" s="31" t="s">
        <v>151</v>
      </c>
      <c r="E27" s="119"/>
      <c r="F27" s="31" t="s">
        <v>150</v>
      </c>
      <c r="G27" s="31" t="s">
        <v>90</v>
      </c>
    </row>
    <row r="28" spans="1:17" x14ac:dyDescent="0.25">
      <c r="A28" s="33" t="s">
        <v>149</v>
      </c>
      <c r="B28" s="31" t="s">
        <v>148</v>
      </c>
      <c r="C28" s="32" t="s">
        <v>147</v>
      </c>
      <c r="D28" s="31" t="s">
        <v>92</v>
      </c>
      <c r="E28" s="119"/>
      <c r="F28" s="34" t="s">
        <v>96</v>
      </c>
      <c r="G28" s="31" t="s">
        <v>88</v>
      </c>
    </row>
    <row r="29" spans="1:17" x14ac:dyDescent="0.25">
      <c r="A29" s="33" t="s">
        <v>146</v>
      </c>
      <c r="B29" s="31" t="s">
        <v>91</v>
      </c>
      <c r="C29" s="32" t="s">
        <v>145</v>
      </c>
      <c r="D29" s="31" t="s">
        <v>144</v>
      </c>
      <c r="E29" s="119"/>
      <c r="F29" s="32" t="s">
        <v>89</v>
      </c>
      <c r="G29" s="31"/>
    </row>
  </sheetData>
  <mergeCells count="17">
    <mergeCell ref="A23:E23"/>
    <mergeCell ref="C3:C18"/>
    <mergeCell ref="H3:H14"/>
    <mergeCell ref="M3:M14"/>
    <mergeCell ref="E25:E29"/>
    <mergeCell ref="A15:A18"/>
    <mergeCell ref="D9:D11"/>
    <mergeCell ref="A1:N1"/>
    <mergeCell ref="N3:N14"/>
    <mergeCell ref="N16:N18"/>
    <mergeCell ref="M16:M18"/>
    <mergeCell ref="I16:I18"/>
    <mergeCell ref="A3:A5"/>
    <mergeCell ref="A6:A8"/>
    <mergeCell ref="A9:A11"/>
    <mergeCell ref="A12:A14"/>
    <mergeCell ref="L3:L5"/>
  </mergeCells>
  <pageMargins left="0.25" right="0.25" top="0.75" bottom="0.75" header="0.3" footer="0.3"/>
  <pageSetup paperSize="3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Students</vt:lpstr>
      <vt:lpstr>Teachers</vt:lpstr>
      <vt:lpstr>Subjects</vt:lpstr>
      <vt:lpstr>Class</vt:lpstr>
      <vt:lpstr>Brushsheet</vt:lpstr>
      <vt:lpstr>Results</vt:lpstr>
      <vt:lpstr>Results Dashboard</vt:lpstr>
      <vt:lpstr>Attendance</vt:lpstr>
      <vt:lpstr>Fees</vt:lpstr>
      <vt:lpstr>Discipline</vt:lpstr>
      <vt:lpstr>Inventory</vt:lpstr>
      <vt:lpstr>Club Activities</vt:lpstr>
      <vt:lpstr>Time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Ojo</dc:creator>
  <cp:lastModifiedBy>Josiah Ojo</cp:lastModifiedBy>
  <dcterms:created xsi:type="dcterms:W3CDTF">2025-12-18T12:36:29Z</dcterms:created>
  <dcterms:modified xsi:type="dcterms:W3CDTF">2025-12-27T18:50:15Z</dcterms:modified>
</cp:coreProperties>
</file>